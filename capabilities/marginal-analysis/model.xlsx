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Cost &amp; Marginal Cost" sheetId="2" state="visible" r:id="rId4"/>
    <sheet name="Optimization" sheetId="3" state="visible" r:id="rId5"/>
    <sheet name="Results" sheetId="4" state="visible" r:id="rId6"/>
    <sheet name="Checks" sheetId="5" state="visible" r:id="rId7"/>
  </sheets>
  <definedNames>
    <definedName function="false" hidden="false" name="CAR_BEDS" vbProcedure="false">Optimization!$B$7</definedName>
    <definedName function="false" hidden="false" name="CAR_DIM" vbProcedure="false">Inputs!$B$14</definedName>
    <definedName function="false" hidden="false" name="CAR_FERT" vbProcedure="false">Inputs!$B$12</definedName>
    <definedName function="false" hidden="false" name="CAR_HRS" vbProcedure="false">Inputs!$B$11</definedName>
    <definedName function="false" hidden="false" name="CAR_MAXBED" vbProcedure="false">Inputs!$B$13</definedName>
    <definedName function="false" hidden="false" name="CAR_MAXBED_SHADOW" vbProcedure="false">Results!$B$19</definedName>
    <definedName function="false" hidden="false" name="CAR_PRICE" vbProcedure="false">Inputs!$B$10</definedName>
    <definedName function="false" hidden="false" name="COST_CAR" vbProcedure="false">Optimization!$B$23</definedName>
    <definedName function="false" hidden="false" name="COST_MES" vbProcedure="false">Optimization!$B$24</definedName>
    <definedName function="false" hidden="false" name="COST_TOM" vbProcedure="false">Optimization!$B$22</definedName>
    <definedName function="false" hidden="false" name="EFFECTIVE_RATE" vbProcedure="false">Optimization!$B$18</definedName>
    <definedName function="false" hidden="false" name="FARMER_HRS" vbProcedure="false">Inputs!$B$26</definedName>
    <definedName function="false" hidden="false" name="FARMER_PAY" vbProcedure="false">Inputs!$B$27</definedName>
    <definedName function="false" hidden="false" name="FARMER_RATE" vbProcedure="false">Inputs!$B$32</definedName>
    <definedName function="false" hidden="false" name="FARMER_TOTAL_HRS" vbProcedure="false">Inputs!$B$28</definedName>
    <definedName function="false" hidden="false" name="FIXED_COSTS" vbProcedure="false">Inputs!$B$24</definedName>
    <definedName function="false" hidden="false" name="LH_CAR" vbProcedure="false">Optimization!$B$13</definedName>
    <definedName function="false" hidden="false" name="LH_MES" vbProcedure="false">Optimization!$B$14</definedName>
    <definedName function="false" hidden="false" name="LH_TOM" vbProcedure="false">Optimization!$B$12</definedName>
    <definedName function="false" hidden="false" name="MES_BEDS" vbProcedure="false">Optimization!$B$8</definedName>
    <definedName function="false" hidden="false" name="MES_DIM" vbProcedure="false">Inputs!$B$19</definedName>
    <definedName function="false" hidden="false" name="MES_FERT" vbProcedure="false">Inputs!$B$17</definedName>
    <definedName function="false" hidden="false" name="MES_HRS" vbProcedure="false">Inputs!$B$16</definedName>
    <definedName function="false" hidden="false" name="MES_MAXBED" vbProcedure="false">Inputs!$B$18</definedName>
    <definedName function="false" hidden="false" name="MES_MAXBED_SHADOW" vbProcedure="false">Results!$B$20</definedName>
    <definedName function="false" hidden="false" name="MES_PRICE" vbProcedure="false">Inputs!$B$15</definedName>
    <definedName function="false" hidden="false" name="OPT_CAR_BEDS" vbProcedure="false">Results!$B$6</definedName>
    <definedName function="false" hidden="false" name="OPT_CAR_PROFIT" vbProcedure="false">Results!$B$11</definedName>
    <definedName function="false" hidden="false" name="OPT_MES_BEDS" vbProcedure="false">Results!$B$7</definedName>
    <definedName function="false" hidden="false" name="OPT_MES_PROFIT" vbProcedure="false">Results!$B$12</definedName>
    <definedName function="false" hidden="false" name="OPT_TEMP_WORKERS" vbProcedure="false">Results!$B$9</definedName>
    <definedName function="false" hidden="false" name="OPT_TOM_BEDS" vbProcedure="false">Results!$B$5</definedName>
    <definedName function="false" hidden="false" name="OPT_TOM_PROFIT" vbProcedure="false">Results!$B$10</definedName>
    <definedName function="false" hidden="false" name="OPT_TOTAL_BEDS" vbProcedure="false">Results!$B$8</definedName>
    <definedName function="false" hidden="false" name="OPT_TOTAL_PROFIT" vbProcedure="false">Results!$B$13</definedName>
    <definedName function="false" hidden="false" name="PROFIT_CAR" vbProcedure="false">Optimization!$B$29</definedName>
    <definedName function="false" hidden="false" name="PROFIT_MES" vbProcedure="false">Optimization!$B$30</definedName>
    <definedName function="false" hidden="false" name="PROFIT_TOM" vbProcedure="false">Optimization!$B$28</definedName>
    <definedName function="false" hidden="false" name="REV_CAR" vbProcedure="false">Optimization!$B$26</definedName>
    <definedName function="false" hidden="false" name="REV_MES" vbProcedure="false">Optimization!$B$27</definedName>
    <definedName function="false" hidden="false" name="REV_TOM" vbProcedure="false">Optimization!$B$25</definedName>
    <definedName function="false" hidden="false" name="TEMP_HRS_EACH" vbProcedure="false">Inputs!$B$30</definedName>
    <definedName function="false" hidden="false" name="TEMP_MAX" vbProcedure="false">Inputs!$B$29</definedName>
    <definedName function="false" hidden="false" name="TEMP_MAX_SHADOW" vbProcedure="false">Results!$B$22</definedName>
    <definedName function="false" hidden="false" name="TEMP_PAY_EACH" vbProcedure="false">Inputs!$B$31</definedName>
    <definedName function="false" hidden="false" name="TEMP_RATE" vbProcedure="false">Inputs!$B$33</definedName>
    <definedName function="false" hidden="false" name="TEMP_WORKERS" vbProcedure="false">Optimization!$B$16</definedName>
    <definedName function="false" hidden="false" name="TOM_BEDS" vbProcedure="false">Optimization!$B$6</definedName>
    <definedName function="false" hidden="false" name="TOM_DIM" vbProcedure="false">Inputs!$B$9</definedName>
    <definedName function="false" hidden="false" name="TOM_FERT" vbProcedure="false">Inputs!$B$7</definedName>
    <definedName function="false" hidden="false" name="TOM_HRS" vbProcedure="false">Inputs!$B$6</definedName>
    <definedName function="false" hidden="false" name="TOM_MAXBED" vbProcedure="false">Inputs!$B$8</definedName>
    <definedName function="false" hidden="false" name="TOM_MAXBED_SHADOW" vbProcedure="false">Results!$B$18</definedName>
    <definedName function="false" hidden="false" name="TOM_PRICE" vbProcedure="false">Inputs!$B$5</definedName>
    <definedName function="false" hidden="false" name="TOTAL_BED_CAP" vbProcedure="false">Inputs!$B$25</definedName>
    <definedName function="false" hidden="false" name="TOTAL_BED_SHADOW" vbProcedure="false">Results!$B$21</definedName>
    <definedName function="false" hidden="false" name="TOTAL_LABOR_COST" vbProcedure="false">Optimization!$B$17</definedName>
    <definedName function="false" hidden="false" name="TOTAL_LABOR_HRS" vbProcedure="false">Optimization!$B$15</definedName>
    <definedName function="false" hidden="false" name="TOTAL_PROFIT" vbProcedure="false">Optimization!$B$31</definedName>
    <definedName function="false" hidden="false" name="WEEKS" vbProcedure="false">Inputs!$B$23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<sst xmlns="http://schemas.openxmlformats.org/spreadsheetml/2006/main" count="267" uniqueCount="189">
  <si>
    <t xml:space="preserve">Inputs — the named contract</t>
  </si>
  <si>
    <t xml:space="preserve">Crop parameters</t>
  </si>
  <si>
    <t xml:space="preserve">Name</t>
  </si>
  <si>
    <t xml:space="preserve">Value</t>
  </si>
  <si>
    <t xml:space="preserve">Unit</t>
  </si>
  <si>
    <t xml:space="preserve">Source</t>
  </si>
  <si>
    <t xml:space="preserve">TOM_PRICE</t>
  </si>
  <si>
    <t xml:space="preserve">USD per bed</t>
  </si>
  <si>
    <t xml:space="preserve">Case scenario, crop table</t>
  </si>
  <si>
    <t xml:space="preserve">TOM_HRS</t>
  </si>
  <si>
    <t xml:space="preserve">hours per week per bed</t>
  </si>
  <si>
    <t xml:space="preserve">TOM_FERT</t>
  </si>
  <si>
    <t xml:space="preserve">TOM_MAXBED</t>
  </si>
  <si>
    <t xml:space="preserve">beds</t>
  </si>
  <si>
    <t xml:space="preserve">TOM_DIM</t>
  </si>
  <si>
    <t xml:space="preserve">% per bed (diminishing returns)</t>
  </si>
  <si>
    <t xml:space="preserve">CAR_PRICE</t>
  </si>
  <si>
    <t xml:space="preserve">CAR_HRS</t>
  </si>
  <si>
    <t xml:space="preserve">Case scenario, crop table — exact fraction (5/6), not rounded 0.833</t>
  </si>
  <si>
    <t xml:space="preserve">CAR_FERT</t>
  </si>
  <si>
    <t xml:space="preserve">CAR_MAXBED</t>
  </si>
  <si>
    <t xml:space="preserve">CAR_DIM</t>
  </si>
  <si>
    <t xml:space="preserve">MES_PRICE</t>
  </si>
  <si>
    <t xml:space="preserve">MES_HRS</t>
  </si>
  <si>
    <t xml:space="preserve">MES_FERT</t>
  </si>
  <si>
    <t xml:space="preserve">MES_MAXBED</t>
  </si>
  <si>
    <t xml:space="preserve">MES_DIM</t>
  </si>
  <si>
    <t xml:space="preserve">Farm-level parameters</t>
  </si>
  <si>
    <t xml:space="preserve">WEEKS</t>
  </si>
  <si>
    <t xml:space="preserve">weeks</t>
  </si>
  <si>
    <t xml:space="preserve">Case scenario, farm parameters</t>
  </si>
  <si>
    <t xml:space="preserve">FIXED_COSTS</t>
  </si>
  <si>
    <t xml:space="preserve">USD per season</t>
  </si>
  <si>
    <t xml:space="preserve">TOTAL_BED_CAP</t>
  </si>
  <si>
    <t xml:space="preserve">FARMER_HRS</t>
  </si>
  <si>
    <t xml:space="preserve">hours per season</t>
  </si>
  <si>
    <t xml:space="preserve">Case scenario, farm parameters. Her true field/crop-labor capacity — the other 720 hrs of her 1,440-hour season go to admin/accounting, outside this model.</t>
  </si>
  <si>
    <t xml:space="preserve">FARMER_PAY</t>
  </si>
  <si>
    <t xml:space="preserve">FARMER_TOTAL_HRS</t>
  </si>
  <si>
    <t xml:space="preserve">Case scenario — her full committed season (720 field + 720 admin)</t>
  </si>
  <si>
    <t xml:space="preserve">TEMP_MAX</t>
  </si>
  <si>
    <t xml:space="preserve">workers</t>
  </si>
  <si>
    <t xml:space="preserve">TEMP_HRS_EACH</t>
  </si>
  <si>
    <t xml:space="preserve">hours per worker per season</t>
  </si>
  <si>
    <t xml:space="preserve">TEMP_PAY_EACH</t>
  </si>
  <si>
    <t xml:space="preserve">USD per worker per season</t>
  </si>
  <si>
    <t xml:space="preserve">FARMER_RATE</t>
  </si>
  <si>
    <t xml:space="preserve">USD per hour</t>
  </si>
  <si>
    <t xml:space="preserve">Derived: FARMER_PAY / FARMER_TOTAL_HRS. Operative rate applied to the first FARMER_HRS hours of TOTAL_LABOR_HRS. Derived, not typed.</t>
  </si>
  <si>
    <t xml:space="preserve">TEMP_RATE</t>
  </si>
  <si>
    <t xml:space="preserve">Derived: TEMP_PAY_EACH / TEMP_HRS_EACH. Operative rate applied to labor hours beyond FARMER_HRS. Derived, not typed.</t>
  </si>
  <si>
    <t xml:space="preserve">Cost &amp; Marginal Cost — standalone per-crop schedules (other two crops held at 0)</t>
  </si>
  <si>
    <t xml:space="preserve">Tomatoes</t>
  </si>
  <si>
    <t xml:space="preserve">Carrots</t>
  </si>
  <si>
    <t xml:space="preserve">Mesclun</t>
  </si>
  <si>
    <t xml:space="preserve">q</t>
  </si>
  <si>
    <t xml:space="preserve">Labor hrs</t>
  </si>
  <si>
    <t xml:space="preserve">Labor cost</t>
  </si>
  <si>
    <t xml:space="preserve">Fert cost</t>
  </si>
  <si>
    <t xml:space="preserve">Total cost</t>
  </si>
  <si>
    <t xml:space="preserve">Revenue</t>
  </si>
  <si>
    <t xml:space="preserve">Profit</t>
  </si>
  <si>
    <t xml:space="preserve">MC</t>
  </si>
  <si>
    <t xml:space="preserve">Optimization — Solver setup</t>
  </si>
  <si>
    <t xml:space="preserve">Solver: GRG Nonlinear • Objective: maximize TOTAL_PROFIT • Changing cells: TOM_BEDS, CAR_BEDS, MES_BEDS (integer)</t>
  </si>
  <si>
    <t xml:space="preserve">Decision variables (Solver changing cells)</t>
  </si>
  <si>
    <t xml:space="preserve">Notes</t>
  </si>
  <si>
    <t xml:space="preserve">TOM_BEDS</t>
  </si>
  <si>
    <t xml:space="preserve">Set by Solver. Integer, 0 ≤ value ≤ TOM_MAXBED.</t>
  </si>
  <si>
    <t xml:space="preserve">CAR_BEDS</t>
  </si>
  <si>
    <t xml:space="preserve">Set by Solver. Integer, 0 ≤ value ≤ CAR_MAXBED.</t>
  </si>
  <si>
    <t xml:space="preserve">MES_BEDS</t>
  </si>
  <si>
    <t xml:space="preserve">Set by Solver. Integer, 0 ≤ value ≤ MES_MAXBED.</t>
  </si>
  <si>
    <t xml:space="preserve">Labor</t>
  </si>
  <si>
    <t xml:space="preserve">LH_TOM</t>
  </si>
  <si>
    <t xml:space="preserve">LABOR_HRS(TOM, TOM_BEDS)</t>
  </si>
  <si>
    <t xml:space="preserve">LH_CAR</t>
  </si>
  <si>
    <t xml:space="preserve">LABOR_HRS(CAR, CAR_BEDS)</t>
  </si>
  <si>
    <t xml:space="preserve">LH_MES</t>
  </si>
  <si>
    <t xml:space="preserve">LABOR_HRS(MES, MES_BEDS)</t>
  </si>
  <si>
    <t xml:space="preserve">TOTAL_LABOR_HRS</t>
  </si>
  <si>
    <t xml:space="preserve">Sum of all three crops' labor hours at the current bed counts</t>
  </si>
  <si>
    <t xml:space="preserve">TEMP_WORKERS</t>
  </si>
  <si>
    <t xml:space="preserve">Derived headcount — reporting only, not used to price labor. Must be ≤ TEMP_MAX.</t>
  </si>
  <si>
    <t xml:space="preserve">TOTAL_LABOR_COST</t>
  </si>
  <si>
    <t xml:space="preserve">Two fixed tiers: FARMER_RATE for first FARMER_HRS, TEMP_RATE beyond that</t>
  </si>
  <si>
    <t xml:space="preserve">EFFECTIVE_RATE</t>
  </si>
  <si>
    <t xml:space="preserve">Allocation rate for per-crop profit reporting only; collapses to the tiered formula when only one crop is nonzero</t>
  </si>
  <si>
    <t xml:space="preserve">COST_TOM</t>
  </si>
  <si>
    <t xml:space="preserve">CROP_COST(TOM, TOM_BEDS)</t>
  </si>
  <si>
    <t xml:space="preserve">COST_CAR</t>
  </si>
  <si>
    <t xml:space="preserve">CROP_COST(CAR, CAR_BEDS)</t>
  </si>
  <si>
    <t xml:space="preserve">COST_MES</t>
  </si>
  <si>
    <t xml:space="preserve">CROP_COST(MES, MES_BEDS)</t>
  </si>
  <si>
    <t xml:space="preserve">REV_TOM</t>
  </si>
  <si>
    <t xml:space="preserve">CROP_REV(TOM, TOM_BEDS)</t>
  </si>
  <si>
    <t xml:space="preserve">REV_CAR</t>
  </si>
  <si>
    <t xml:space="preserve">CROP_REV(CAR, CAR_BEDS)</t>
  </si>
  <si>
    <t xml:space="preserve">REV_MES</t>
  </si>
  <si>
    <t xml:space="preserve">CROP_REV(MES, MES_BEDS)</t>
  </si>
  <si>
    <t xml:space="preserve">PROFIT_TOM</t>
  </si>
  <si>
    <t xml:space="preserve">CROP_PROFIT(TOM, TOM_BEDS)</t>
  </si>
  <si>
    <t xml:space="preserve">PROFIT_CAR</t>
  </si>
  <si>
    <t xml:space="preserve">CROP_PROFIT(CAR, CAR_BEDS)</t>
  </si>
  <si>
    <t xml:space="preserve">PROFIT_MES</t>
  </si>
  <si>
    <t xml:space="preserve">CROP_PROFIT(MES, MES_BEDS)</t>
  </si>
  <si>
    <t xml:space="preserve">TOTAL_PROFIT</t>
  </si>
  <si>
    <t xml:space="preserve">Season profit: sum of crop profits minus fixed costs</t>
  </si>
  <si>
    <t xml:space="preserve">Constraint checks</t>
  </si>
  <si>
    <t xml:space="preserve">Constraint</t>
  </si>
  <si>
    <t xml:space="preserve">Satisfied?</t>
  </si>
  <si>
    <t xml:space="preserve">Detail</t>
  </si>
  <si>
    <t xml:space="preserve">TOM_BEDS ≤ TOM_MAXBED</t>
  </si>
  <si>
    <t xml:space="preserve">Per-crop bed cap</t>
  </si>
  <si>
    <t xml:space="preserve">CAR_BEDS ≤ CAR_MAXBED</t>
  </si>
  <si>
    <t xml:space="preserve">MES_BEDS ≤ MES_MAXBED</t>
  </si>
  <si>
    <t xml:space="preserve">TOTAL beds ≤ TOTAL_BED_CAP</t>
  </si>
  <si>
    <t xml:space="preserve">64-bed farm-wide cap</t>
  </si>
  <si>
    <t xml:space="preserve">TEMP_WORKERS ≤ TEMP_MAX</t>
  </si>
  <si>
    <t xml:space="preserve">≤4 temp workers</t>
  </si>
  <si>
    <t xml:space="preserve">TOTAL_LABOR_HRS ≤ 6,480</t>
  </si>
  <si>
    <t xml:space="preserve">Explicit hour cap: FARMER_HRS + TEMP_MAX×TEMP_HRS_EACH = 720+4×1,440 = 6,480</t>
  </si>
  <si>
    <t xml:space="preserve">Bed counts are integers</t>
  </si>
  <si>
    <t xml:space="preserve">TOM_BEDS, CAR_BEDS, MES_BEDS must be non-negative integers</t>
  </si>
  <si>
    <t xml:space="preserve">Results</t>
  </si>
  <si>
    <t xml:space="preserve">All values below are live links to the Optimization sheet, evaluated at whatever bed counts Solver has currently set.</t>
  </si>
  <si>
    <t xml:space="preserve">Description</t>
  </si>
  <si>
    <t xml:space="preserve">OPT_TOM_BEDS</t>
  </si>
  <si>
    <t xml:space="preserve">Optimal tomato bed count</t>
  </si>
  <si>
    <t xml:space="preserve">OPT_CAR_BEDS</t>
  </si>
  <si>
    <t xml:space="preserve">Optimal carrot bed count</t>
  </si>
  <si>
    <t xml:space="preserve">OPT_MES_BEDS</t>
  </si>
  <si>
    <t xml:space="preserve">Optimal mesclun bed count</t>
  </si>
  <si>
    <t xml:space="preserve">OPT_TOTAL_BEDS</t>
  </si>
  <si>
    <t xml:space="preserve">Sum of the three (must be ≤ TOTAL_BED_CAP)</t>
  </si>
  <si>
    <t xml:space="preserve">OPT_TEMP_WORKERS</t>
  </si>
  <si>
    <t xml:space="preserve">Temp workers derived from the optimal mix</t>
  </si>
  <si>
    <t xml:space="preserve">OPT_TOM_PROFIT</t>
  </si>
  <si>
    <t xml:space="preserve">Tomato profit at the optimal bed count</t>
  </si>
  <si>
    <t xml:space="preserve">OPT_CAR_PROFIT</t>
  </si>
  <si>
    <t xml:space="preserve">Carrot profit at the optimal bed count</t>
  </si>
  <si>
    <t xml:space="preserve">OPT_MES_PROFIT</t>
  </si>
  <si>
    <t xml:space="preserve">Mesclun profit at the optimal bed count</t>
  </si>
  <si>
    <t xml:space="preserve">OPT_TOTAL_PROFIT</t>
  </si>
  <si>
    <t xml:space="preserve">Season profit (sum of crop profits − FIXED_COSTS)</t>
  </si>
  <si>
    <t xml:space="preserve">Shadow prices (binding constraints only)</t>
  </si>
  <si>
    <t xml:space="preserve">Computed by re-solving with the named cap relaxed by 1 bed/worker and differencing TOTAL_PROFIT. Recorded manually after each Solver run below (see Checks sheet) — shadow prices are not live formulas since they require re-optimizing, which Solver does not expose as a worksheet function.</t>
  </si>
  <si>
    <t xml:space="preserve">TOM_MAXBED_SHADOW</t>
  </si>
  <si>
    <t xml:space="preserve">Shadow price of relaxing the tomato bed cap by 1 (if binding)</t>
  </si>
  <si>
    <t xml:space="preserve">CAR_MAXBED_SHADOW</t>
  </si>
  <si>
    <t xml:space="preserve">Shadow price of relaxing the carrot bed cap by 1 (if binding)</t>
  </si>
  <si>
    <t xml:space="preserve">MES_MAXBED_SHADOW</t>
  </si>
  <si>
    <t xml:space="preserve">Shadow price of relaxing the mesclun bed cap by 1 (if binding)</t>
  </si>
  <si>
    <t xml:space="preserve">TOTAL_BED_SHADOW</t>
  </si>
  <si>
    <t xml:space="preserve">Shadow price of relaxing the 64-bed total cap by 1 (if binding)</t>
  </si>
  <si>
    <t xml:space="preserve">TEMP_MAX_SHADOW</t>
  </si>
  <si>
    <t xml:space="preserve">Shadow price of relaxing the 4-worker cap by 1 (if binding)</t>
  </si>
  <si>
    <t xml:space="preserve">Checks — validation against spec.md</t>
  </si>
  <si>
    <t xml:space="preserve">1. Hand calculation (q = 1, tomatoes)</t>
  </si>
  <si>
    <t xml:space="preserve">Metric</t>
  </si>
  <si>
    <t xml:space="preserve">Formula result</t>
  </si>
  <si>
    <t xml:space="preserve">Hand calc</t>
  </si>
  <si>
    <t xml:space="preserve">Match?</t>
  </si>
  <si>
    <t xml:space="preserve">LABOR_HRS(TOM,1)</t>
  </si>
  <si>
    <t xml:space="preserve">CROP_COST(TOM,1)</t>
  </si>
  <si>
    <t xml:space="preserve">CROP_PROFIT(TOM,1)</t>
  </si>
  <si>
    <t xml:space="preserve">2. Cross-check vs. Farm Profit Lab (q=1 marginal profit, all crops)</t>
  </si>
  <si>
    <t xml:space="preserve">Crop</t>
  </si>
  <si>
    <t xml:space="preserve">Model result</t>
  </si>
  <si>
    <t xml:space="preserve">Farm Profit Lab</t>
  </si>
  <si>
    <t xml:space="preserve">3. Solver robustness — two starting points</t>
  </si>
  <si>
    <t xml:space="preserve">Start point</t>
  </si>
  <si>
    <t xml:space="preserve">TOM/CAR/MES result</t>
  </si>
  <si>
    <t xml:space="preserve">0 / 0 / 0</t>
  </si>
  <si>
    <t xml:space="preserve">20 / 0 / 0</t>
  </si>
  <si>
    <t xml:space="preserve">Fill in B/C/D for both rows after running Solver from each starting point (Data &gt; Solver, set start values on the Optimization sheet, Solve, record result, repeat).</t>
  </si>
  <si>
    <t xml:space="preserve">4. Acceptance criteria — published check figures</t>
  </si>
  <si>
    <t xml:space="preserve">Expected</t>
  </si>
  <si>
    <t xml:space="preserve">Tolerance</t>
  </si>
  <si>
    <t xml:space="preserve">Optimal mix (TOM/CAR/MES)</t>
  </si>
  <si>
    <t xml:space="preserve">10/20/30</t>
  </si>
  <si>
    <t xml:space="preserve">Exact — integers</t>
  </si>
  <si>
    <t xml:space="preserve">Season profit</t>
  </si>
  <si>
    <t xml:space="preserve">$42,762</t>
  </si>
  <si>
    <t xml:space="preserve">within $10</t>
  </si>
  <si>
    <t xml:space="preserve">5. Structural checks</t>
  </si>
  <si>
    <t xml:space="preserve">• Every calculated cell above is a live formula (spot-checked: none are pasted values).</t>
  </si>
  <si>
    <t xml:space="preserve">• No formula-error cells present anywhere in the workbook (confirmed via recalculation pass — see build log).</t>
  </si>
  <si>
    <t xml:space="preserve">• All 7 constraint-check cells on the Optimization sheet read OK once Solver has run.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</si>
</sst>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"/>
    <numFmt numFmtId="166" formatCode="0.0000"/>
    <numFmt numFmtId="167" formatCode="0"/>
    <numFmt numFmtId="168" formatCode="0.00%"/>
    <numFmt numFmtId="169" formatCode="\$#,##0.0000"/>
    <numFmt numFmtId="170" formatCode="#,##0.00"/>
    <numFmt numFmtId="171" formatCode="\$#,##0.00"/>
    <numFmt numFmtId="172" formatCode="#,##0.0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8000"/>
      <name val="Arial"/>
      <family val="0"/>
      <charset val="1"/>
    </font>
    <font>
      <i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3D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E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26"/>
    <col collapsed="false" customWidth="true" hidden="false" outlineLevel="0" max="4" min="4" style="0" width="55"/>
    <col collapsed="false" customWidth="true" hidden="false" outlineLevel="0" max="5" min="5" style="0" width="4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5" t="n">
        <v>8800</v>
      </c>
      <c r="C5" s="6" t="s">
        <v>7</v>
      </c>
      <c r="D5" s="7" t="s">
        <v>8</v>
      </c>
    </row>
    <row r="6" customFormat="false" ht="15" hidden="false" customHeight="false" outlineLevel="0" collapsed="false">
      <c r="A6" s="4" t="s">
        <v>9</v>
      </c>
      <c r="B6" s="8" t="n">
        <v>2.5</v>
      </c>
      <c r="C6" s="6" t="s">
        <v>10</v>
      </c>
      <c r="D6" s="7" t="s">
        <v>8</v>
      </c>
    </row>
    <row r="7" customFormat="false" ht="15" hidden="false" customHeight="false" outlineLevel="0" collapsed="false">
      <c r="A7" s="4" t="s">
        <v>11</v>
      </c>
      <c r="B7" s="5" t="n">
        <v>880</v>
      </c>
      <c r="C7" s="6" t="s">
        <v>7</v>
      </c>
      <c r="D7" s="7" t="s">
        <v>8</v>
      </c>
    </row>
    <row r="8" customFormat="false" ht="15" hidden="false" customHeight="false" outlineLevel="0" collapsed="false">
      <c r="A8" s="4" t="s">
        <v>12</v>
      </c>
      <c r="B8" s="9" t="n">
        <v>20</v>
      </c>
      <c r="C8" s="6" t="s">
        <v>13</v>
      </c>
      <c r="D8" s="7" t="s">
        <v>8</v>
      </c>
    </row>
    <row r="9" customFormat="false" ht="15" hidden="false" customHeight="false" outlineLevel="0" collapsed="false">
      <c r="A9" s="4" t="s">
        <v>14</v>
      </c>
      <c r="B9" s="10" t="n">
        <v>0.1</v>
      </c>
      <c r="C9" s="6" t="s">
        <v>15</v>
      </c>
      <c r="D9" s="7" t="s">
        <v>8</v>
      </c>
    </row>
    <row r="10" customFormat="false" ht="15" hidden="false" customHeight="false" outlineLevel="0" collapsed="false">
      <c r="A10" s="4" t="s">
        <v>16</v>
      </c>
      <c r="B10" s="5" t="n">
        <v>2094</v>
      </c>
      <c r="C10" s="6" t="s">
        <v>7</v>
      </c>
      <c r="D10" s="7" t="s">
        <v>8</v>
      </c>
    </row>
    <row r="11" customFormat="false" ht="28.35" hidden="false" customHeight="false" outlineLevel="0" collapsed="false">
      <c r="A11" s="4" t="s">
        <v>17</v>
      </c>
      <c r="B11" s="11" t="n">
        <f aca="false">2.5/3</f>
        <v>0.833333333333333</v>
      </c>
      <c r="C11" s="6" t="s">
        <v>10</v>
      </c>
      <c r="D11" s="7" t="s">
        <v>18</v>
      </c>
    </row>
    <row r="12" customFormat="false" ht="15" hidden="false" customHeight="false" outlineLevel="0" collapsed="false">
      <c r="A12" s="4" t="s">
        <v>19</v>
      </c>
      <c r="B12" s="5" t="n">
        <v>440</v>
      </c>
      <c r="C12" s="6" t="s">
        <v>7</v>
      </c>
      <c r="D12" s="7" t="s">
        <v>8</v>
      </c>
    </row>
    <row r="13" customFormat="false" ht="15" hidden="false" customHeight="false" outlineLevel="0" collapsed="false">
      <c r="A13" s="4" t="s">
        <v>20</v>
      </c>
      <c r="B13" s="9" t="n">
        <v>20</v>
      </c>
      <c r="C13" s="6" t="s">
        <v>13</v>
      </c>
      <c r="D13" s="7" t="s">
        <v>8</v>
      </c>
    </row>
    <row r="14" customFormat="false" ht="15" hidden="false" customHeight="false" outlineLevel="0" collapsed="false">
      <c r="A14" s="4" t="s">
        <v>21</v>
      </c>
      <c r="B14" s="10" t="n">
        <v>0.025</v>
      </c>
      <c r="C14" s="6" t="s">
        <v>15</v>
      </c>
      <c r="D14" s="7" t="s">
        <v>8</v>
      </c>
    </row>
    <row r="15" customFormat="false" ht="15" hidden="false" customHeight="false" outlineLevel="0" collapsed="false">
      <c r="A15" s="4" t="s">
        <v>22</v>
      </c>
      <c r="B15" s="5" t="n">
        <v>2700</v>
      </c>
      <c r="C15" s="6" t="s">
        <v>7</v>
      </c>
      <c r="D15" s="7" t="s">
        <v>8</v>
      </c>
    </row>
    <row r="16" customFormat="false" ht="15" hidden="false" customHeight="false" outlineLevel="0" collapsed="false">
      <c r="A16" s="4" t="s">
        <v>23</v>
      </c>
      <c r="B16" s="8" t="n">
        <v>1.25</v>
      </c>
      <c r="C16" s="6" t="s">
        <v>10</v>
      </c>
      <c r="D16" s="7" t="s">
        <v>8</v>
      </c>
    </row>
    <row r="17" customFormat="false" ht="15" hidden="false" customHeight="false" outlineLevel="0" collapsed="false">
      <c r="A17" s="4" t="s">
        <v>24</v>
      </c>
      <c r="B17" s="5" t="n">
        <v>880</v>
      </c>
      <c r="C17" s="6" t="s">
        <v>7</v>
      </c>
      <c r="D17" s="7" t="s">
        <v>8</v>
      </c>
    </row>
    <row r="18" customFormat="false" ht="15" hidden="false" customHeight="false" outlineLevel="0" collapsed="false">
      <c r="A18" s="4" t="s">
        <v>25</v>
      </c>
      <c r="B18" s="9" t="n">
        <v>30</v>
      </c>
      <c r="C18" s="6" t="s">
        <v>13</v>
      </c>
      <c r="D18" s="7" t="s">
        <v>8</v>
      </c>
    </row>
    <row r="19" customFormat="false" ht="15" hidden="false" customHeight="false" outlineLevel="0" collapsed="false">
      <c r="A19" s="4" t="s">
        <v>26</v>
      </c>
      <c r="B19" s="10" t="n">
        <v>0.0125</v>
      </c>
      <c r="C19" s="6" t="s">
        <v>15</v>
      </c>
      <c r="D19" s="7" t="s">
        <v>8</v>
      </c>
    </row>
    <row r="21" customFormat="false" ht="15" hidden="false" customHeight="false" outlineLevel="0" collapsed="false">
      <c r="A21" s="2" t="s">
        <v>27</v>
      </c>
    </row>
    <row r="22" customFormat="false" ht="15" hidden="false" customHeight="false" outlineLevel="0" collapsed="false">
      <c r="A22" s="3" t="s">
        <v>2</v>
      </c>
      <c r="B22" s="3" t="s">
        <v>3</v>
      </c>
      <c r="C22" s="3" t="s">
        <v>4</v>
      </c>
      <c r="D22" s="3" t="s">
        <v>5</v>
      </c>
    </row>
    <row r="23" customFormat="false" ht="15" hidden="false" customHeight="false" outlineLevel="0" collapsed="false">
      <c r="A23" s="4" t="s">
        <v>28</v>
      </c>
      <c r="B23" s="9" t="n">
        <v>36</v>
      </c>
      <c r="C23" s="6" t="s">
        <v>29</v>
      </c>
      <c r="D23" s="7" t="s">
        <v>30</v>
      </c>
    </row>
    <row r="24" customFormat="false" ht="15" hidden="false" customHeight="false" outlineLevel="0" collapsed="false">
      <c r="A24" s="4" t="s">
        <v>31</v>
      </c>
      <c r="B24" s="5" t="n">
        <v>20000</v>
      </c>
      <c r="C24" s="6" t="s">
        <v>32</v>
      </c>
      <c r="D24" s="7" t="s">
        <v>30</v>
      </c>
    </row>
    <row r="25" customFormat="false" ht="15" hidden="false" customHeight="false" outlineLevel="0" collapsed="false">
      <c r="A25" s="4" t="s">
        <v>33</v>
      </c>
      <c r="B25" s="9" t="n">
        <v>64</v>
      </c>
      <c r="C25" s="6" t="s">
        <v>13</v>
      </c>
      <c r="D25" s="7" t="s">
        <v>30</v>
      </c>
    </row>
    <row r="26" customFormat="false" ht="41.75" hidden="false" customHeight="false" outlineLevel="0" collapsed="false">
      <c r="A26" s="4" t="s">
        <v>34</v>
      </c>
      <c r="B26" s="9" t="n">
        <v>720</v>
      </c>
      <c r="C26" s="6" t="s">
        <v>35</v>
      </c>
      <c r="D26" s="7" t="s">
        <v>36</v>
      </c>
    </row>
    <row r="27" customFormat="false" ht="15" hidden="false" customHeight="false" outlineLevel="0" collapsed="false">
      <c r="A27" s="4" t="s">
        <v>37</v>
      </c>
      <c r="B27" s="5" t="n">
        <v>50000</v>
      </c>
      <c r="C27" s="6" t="s">
        <v>32</v>
      </c>
      <c r="D27" s="7" t="s">
        <v>30</v>
      </c>
    </row>
    <row r="28" customFormat="false" ht="28.35" hidden="false" customHeight="false" outlineLevel="0" collapsed="false">
      <c r="A28" s="4" t="s">
        <v>38</v>
      </c>
      <c r="B28" s="9" t="n">
        <v>1440</v>
      </c>
      <c r="C28" s="6" t="s">
        <v>35</v>
      </c>
      <c r="D28" s="7" t="s">
        <v>39</v>
      </c>
    </row>
    <row r="29" customFormat="false" ht="15" hidden="false" customHeight="false" outlineLevel="0" collapsed="false">
      <c r="A29" s="4" t="s">
        <v>40</v>
      </c>
      <c r="B29" s="9" t="n">
        <v>4</v>
      </c>
      <c r="C29" s="6" t="s">
        <v>41</v>
      </c>
      <c r="D29" s="7" t="s">
        <v>30</v>
      </c>
    </row>
    <row r="30" customFormat="false" ht="15" hidden="false" customHeight="false" outlineLevel="0" collapsed="false">
      <c r="A30" s="4" t="s">
        <v>42</v>
      </c>
      <c r="B30" s="9" t="n">
        <v>1440</v>
      </c>
      <c r="C30" s="6" t="s">
        <v>43</v>
      </c>
      <c r="D30" s="7" t="s">
        <v>30</v>
      </c>
    </row>
    <row r="31" customFormat="false" ht="15" hidden="false" customHeight="false" outlineLevel="0" collapsed="false">
      <c r="A31" s="4" t="s">
        <v>44</v>
      </c>
      <c r="B31" s="5" t="n">
        <v>25000</v>
      </c>
      <c r="C31" s="6" t="s">
        <v>45</v>
      </c>
      <c r="D31" s="7" t="s">
        <v>30</v>
      </c>
    </row>
    <row r="32" customFormat="false" ht="41.75" hidden="false" customHeight="false" outlineLevel="0" collapsed="false">
      <c r="A32" s="4" t="s">
        <v>46</v>
      </c>
      <c r="B32" s="12" t="n">
        <f aca="false">Inputs!$B$27/Inputs!$B$28</f>
        <v>34.7222222222222</v>
      </c>
      <c r="C32" s="6" t="s">
        <v>47</v>
      </c>
      <c r="D32" s="7" t="s">
        <v>48</v>
      </c>
    </row>
    <row r="33" customFormat="false" ht="41.75" hidden="false" customHeight="false" outlineLevel="0" collapsed="false">
      <c r="A33" s="4" t="s">
        <v>49</v>
      </c>
      <c r="B33" s="12" t="n">
        <f aca="false">Inputs!$B$31/Inputs!$B$30</f>
        <v>17.3611111111111</v>
      </c>
      <c r="C33" s="6" t="s">
        <v>47</v>
      </c>
      <c r="D33" s="7" t="s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5" min="2" style="0" width="13"/>
  </cols>
  <sheetData>
    <row r="1" customFormat="false" ht="17.35" hidden="false" customHeight="false" outlineLevel="0" collapsed="false">
      <c r="A1" s="1" t="s">
        <v>51</v>
      </c>
    </row>
    <row r="3" customFormat="false" ht="15" hidden="false" customHeight="false" outlineLevel="0" collapsed="false">
      <c r="B3" s="2" t="s">
        <v>52</v>
      </c>
      <c r="J3" s="2" t="s">
        <v>53</v>
      </c>
      <c r="R3" s="2" t="s">
        <v>54</v>
      </c>
    </row>
    <row r="4" customFormat="false" ht="15" hidden="false" customHeight="false" outlineLevel="0" collapsed="false">
      <c r="B4" s="3" t="s">
        <v>55</v>
      </c>
      <c r="C4" s="3" t="s">
        <v>56</v>
      </c>
      <c r="D4" s="3" t="s">
        <v>57</v>
      </c>
      <c r="E4" s="3" t="s">
        <v>58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55</v>
      </c>
      <c r="K4" s="3" t="s">
        <v>56</v>
      </c>
      <c r="L4" s="3" t="s">
        <v>57</v>
      </c>
      <c r="M4" s="3" t="s">
        <v>58</v>
      </c>
      <c r="N4" s="3" t="s">
        <v>59</v>
      </c>
      <c r="O4" s="3" t="s">
        <v>60</v>
      </c>
      <c r="P4" s="3" t="s">
        <v>61</v>
      </c>
      <c r="Q4" s="3" t="s">
        <v>62</v>
      </c>
      <c r="R4" s="3" t="s">
        <v>55</v>
      </c>
      <c r="S4" s="3" t="s">
        <v>56</v>
      </c>
      <c r="T4" s="3" t="s">
        <v>57</v>
      </c>
      <c r="U4" s="3" t="s">
        <v>58</v>
      </c>
      <c r="V4" s="3" t="s">
        <v>59</v>
      </c>
      <c r="W4" s="3" t="s">
        <v>60</v>
      </c>
      <c r="X4" s="3" t="s">
        <v>61</v>
      </c>
      <c r="Y4" s="3" t="s">
        <v>62</v>
      </c>
    </row>
    <row r="5" customFormat="false" ht="15" hidden="false" customHeight="false" outlineLevel="0" collapsed="false">
      <c r="B5" s="13" t="n">
        <f aca="false">IF(1&lt;=TOM_MAXBED,1,"")</f>
        <v>1</v>
      </c>
      <c r="C5" s="14" t="n">
        <f aca="false">IF(B5="","",B5*TOM_HRS*WEEKS*(1+TOM_DIM)^B5)</f>
        <v>99</v>
      </c>
      <c r="D5" s="15" t="n">
        <f aca="false">IF(C5="","",MIN(C5,FARMER_HRS)*FARMER_RATE+MAX(0,C5-FARMER_HRS)*TEMP_RATE)</f>
        <v>3437.5</v>
      </c>
      <c r="E5" s="16" t="n">
        <f aca="false">IF(B5="","",B5*TOM_FERT)</f>
        <v>880</v>
      </c>
      <c r="F5" s="15" t="n">
        <f aca="false">IF(D5="","",D5+E5)</f>
        <v>4317.5</v>
      </c>
      <c r="G5" s="16" t="n">
        <f aca="false">IF(B5="","",B5*TOM_PRICE)</f>
        <v>8800</v>
      </c>
      <c r="H5" s="15" t="n">
        <f aca="false">IF(F5="","",G5-F5)</f>
        <v>4482.5</v>
      </c>
      <c r="I5" s="15" t="n">
        <f aca="false">IF(F5="","",F5-0)</f>
        <v>4317.5</v>
      </c>
      <c r="J5" s="13" t="n">
        <f aca="false">IF(1&lt;=CAR_MAXBED,1,"")</f>
        <v>1</v>
      </c>
      <c r="K5" s="14" t="n">
        <f aca="false">IF(J5="","",J5*CAR_HRS*WEEKS*(1+CAR_DIM)^J5)</f>
        <v>30.75</v>
      </c>
      <c r="L5" s="15" t="n">
        <f aca="false">IF(K5="","",MIN(K5,FARMER_HRS)*FARMER_RATE+MAX(0,K5-FARMER_HRS)*TEMP_RATE)</f>
        <v>1067.70833333333</v>
      </c>
      <c r="M5" s="16" t="n">
        <f aca="false">IF(J5="","",J5*CAR_FERT)</f>
        <v>440</v>
      </c>
      <c r="N5" s="15" t="n">
        <f aca="false">IF(L5="","",L5+M5)</f>
        <v>1507.70833333333</v>
      </c>
      <c r="O5" s="16" t="n">
        <f aca="false">IF(J5="","",J5*CAR_PRICE)</f>
        <v>2094</v>
      </c>
      <c r="P5" s="15" t="n">
        <f aca="false">IF(N5="","",O5-N5)</f>
        <v>586.291666666667</v>
      </c>
      <c r="Q5" s="15" t="n">
        <f aca="false">IF(N5="","",N5-0)</f>
        <v>1507.70833333333</v>
      </c>
      <c r="R5" s="13" t="n">
        <f aca="false">IF(1&lt;=MES_MAXBED,1,"")</f>
        <v>1</v>
      </c>
      <c r="S5" s="14" t="n">
        <f aca="false">IF(R5="","",R5*MES_HRS*WEEKS*(1+MES_DIM)^R5)</f>
        <v>45.5625</v>
      </c>
      <c r="T5" s="15" t="n">
        <f aca="false">IF(S5="","",MIN(S5,FARMER_HRS)*FARMER_RATE+MAX(0,S5-FARMER_HRS)*TEMP_RATE)</f>
        <v>1582.03125</v>
      </c>
      <c r="U5" s="16" t="n">
        <f aca="false">IF(R5="","",R5*MES_FERT)</f>
        <v>880</v>
      </c>
      <c r="V5" s="15" t="n">
        <f aca="false">IF(T5="","",T5+U5)</f>
        <v>2462.03125</v>
      </c>
      <c r="W5" s="16" t="n">
        <f aca="false">IF(R5="","",R5*MES_PRICE)</f>
        <v>2700</v>
      </c>
      <c r="X5" s="15" t="n">
        <f aca="false">IF(V5="","",W5-V5)</f>
        <v>237.96875</v>
      </c>
      <c r="Y5" s="15" t="n">
        <f aca="false">IF(V5="","",V5-0)</f>
        <v>2462.03125</v>
      </c>
    </row>
    <row r="6" customFormat="false" ht="15" hidden="false" customHeight="false" outlineLevel="0" collapsed="false">
      <c r="B6" s="13" t="n">
        <f aca="false">IF(2&lt;=TOM_MAXBED,2,"")</f>
        <v>2</v>
      </c>
      <c r="C6" s="14" t="n">
        <f aca="false">IF(B6="","",B6*TOM_HRS*WEEKS*(1+TOM_DIM)^B6)</f>
        <v>217.8</v>
      </c>
      <c r="D6" s="15" t="n">
        <f aca="false">IF(C6="","",MIN(C6,FARMER_HRS)*FARMER_RATE+MAX(0,C6-FARMER_HRS)*TEMP_RATE)</f>
        <v>7562.5</v>
      </c>
      <c r="E6" s="16" t="n">
        <f aca="false">IF(B6="","",B6*TOM_FERT)</f>
        <v>1760</v>
      </c>
      <c r="F6" s="15" t="n">
        <f aca="false">IF(D6="","",D6+E6)</f>
        <v>9322.5</v>
      </c>
      <c r="G6" s="16" t="n">
        <f aca="false">IF(B6="","",B6*TOM_PRICE)</f>
        <v>17600</v>
      </c>
      <c r="H6" s="15" t="n">
        <f aca="false">IF(F6="","",G6-F6)</f>
        <v>8277.5</v>
      </c>
      <c r="I6" s="15" t="n">
        <f aca="false">IF(F6="","",IF(F5="",F6,F6-F5))</f>
        <v>5005</v>
      </c>
      <c r="J6" s="13" t="n">
        <f aca="false">IF(2&lt;=CAR_MAXBED,2,"")</f>
        <v>2</v>
      </c>
      <c r="K6" s="14" t="n">
        <f aca="false">IF(J6="","",J6*CAR_HRS*WEEKS*(1+CAR_DIM)^J6)</f>
        <v>63.0375</v>
      </c>
      <c r="L6" s="15" t="n">
        <f aca="false">IF(K6="","",MIN(K6,FARMER_HRS)*FARMER_RATE+MAX(0,K6-FARMER_HRS)*TEMP_RATE)</f>
        <v>2188.80208333333</v>
      </c>
      <c r="M6" s="16" t="n">
        <f aca="false">IF(J6="","",J6*CAR_FERT)</f>
        <v>880</v>
      </c>
      <c r="N6" s="15" t="n">
        <f aca="false">IF(L6="","",L6+M6)</f>
        <v>3068.80208333333</v>
      </c>
      <c r="O6" s="16" t="n">
        <f aca="false">IF(J6="","",J6*CAR_PRICE)</f>
        <v>4188</v>
      </c>
      <c r="P6" s="15" t="n">
        <f aca="false">IF(N6="","",O6-N6)</f>
        <v>1119.19791666667</v>
      </c>
      <c r="Q6" s="15" t="n">
        <f aca="false">IF(N6="","",IF(N5="",N6,N6-N5))</f>
        <v>1561.09375</v>
      </c>
      <c r="R6" s="13" t="n">
        <f aca="false">IF(2&lt;=MES_MAXBED,2,"")</f>
        <v>2</v>
      </c>
      <c r="S6" s="14" t="n">
        <f aca="false">IF(R6="","",R6*MES_HRS*WEEKS*(1+MES_DIM)^R6)</f>
        <v>92.2640625</v>
      </c>
      <c r="T6" s="15" t="n">
        <f aca="false">IF(S6="","",MIN(S6,FARMER_HRS)*FARMER_RATE+MAX(0,S6-FARMER_HRS)*TEMP_RATE)</f>
        <v>3203.61328125</v>
      </c>
      <c r="U6" s="16" t="n">
        <f aca="false">IF(R6="","",R6*MES_FERT)</f>
        <v>1760</v>
      </c>
      <c r="V6" s="15" t="n">
        <f aca="false">IF(T6="","",T6+U6)</f>
        <v>4963.61328125</v>
      </c>
      <c r="W6" s="16" t="n">
        <f aca="false">IF(R6="","",R6*MES_PRICE)</f>
        <v>5400</v>
      </c>
      <c r="X6" s="15" t="n">
        <f aca="false">IF(V6="","",W6-V6)</f>
        <v>436.38671875</v>
      </c>
      <c r="Y6" s="15" t="n">
        <f aca="false">IF(V6="","",IF(V5="",V6,V6-V5))</f>
        <v>2501.58203125</v>
      </c>
    </row>
    <row r="7" customFormat="false" ht="15" hidden="false" customHeight="false" outlineLevel="0" collapsed="false">
      <c r="B7" s="13" t="n">
        <f aca="false">IF(3&lt;=TOM_MAXBED,3,"")</f>
        <v>3</v>
      </c>
      <c r="C7" s="14" t="n">
        <f aca="false">IF(B7="","",B7*TOM_HRS*WEEKS*(1+TOM_DIM)^B7)</f>
        <v>359.37</v>
      </c>
      <c r="D7" s="15" t="n">
        <f aca="false">IF(C7="","",MIN(C7,FARMER_HRS)*FARMER_RATE+MAX(0,C7-FARMER_HRS)*TEMP_RATE)</f>
        <v>12478.125</v>
      </c>
      <c r="E7" s="16" t="n">
        <f aca="false">IF(B7="","",B7*TOM_FERT)</f>
        <v>2640</v>
      </c>
      <c r="F7" s="15" t="n">
        <f aca="false">IF(D7="","",D7+E7)</f>
        <v>15118.125</v>
      </c>
      <c r="G7" s="16" t="n">
        <f aca="false">IF(B7="","",B7*TOM_PRICE)</f>
        <v>26400</v>
      </c>
      <c r="H7" s="15" t="n">
        <f aca="false">IF(F7="","",G7-F7)</f>
        <v>11281.875</v>
      </c>
      <c r="I7" s="15" t="n">
        <f aca="false">IF(F7="","",IF(F6="",F7,F7-F6))</f>
        <v>5795.625</v>
      </c>
      <c r="J7" s="13" t="n">
        <f aca="false">IF(3&lt;=CAR_MAXBED,3,"")</f>
        <v>3</v>
      </c>
      <c r="K7" s="14" t="n">
        <f aca="false">IF(J7="","",J7*CAR_HRS*WEEKS*(1+CAR_DIM)^J7)</f>
        <v>96.92015625</v>
      </c>
      <c r="L7" s="15" t="n">
        <f aca="false">IF(K7="","",MIN(K7,FARMER_HRS)*FARMER_RATE+MAX(0,K7-FARMER_HRS)*TEMP_RATE)</f>
        <v>3365.283203125</v>
      </c>
      <c r="M7" s="16" t="n">
        <f aca="false">IF(J7="","",J7*CAR_FERT)</f>
        <v>1320</v>
      </c>
      <c r="N7" s="15" t="n">
        <f aca="false">IF(L7="","",L7+M7)</f>
        <v>4685.283203125</v>
      </c>
      <c r="O7" s="16" t="n">
        <f aca="false">IF(J7="","",J7*CAR_PRICE)</f>
        <v>6282</v>
      </c>
      <c r="P7" s="15" t="n">
        <f aca="false">IF(N7="","",O7-N7)</f>
        <v>1596.716796875</v>
      </c>
      <c r="Q7" s="15" t="n">
        <f aca="false">IF(N7="","",IF(N6="",N7,N7-N6))</f>
        <v>1616.48111979167</v>
      </c>
      <c r="R7" s="13" t="n">
        <f aca="false">IF(3&lt;=MES_MAXBED,3,"")</f>
        <v>3</v>
      </c>
      <c r="S7" s="14" t="n">
        <f aca="false">IF(R7="","",R7*MES_HRS*WEEKS*(1+MES_DIM)^R7)</f>
        <v>140.126044921875</v>
      </c>
      <c r="T7" s="15" t="n">
        <f aca="false">IF(S7="","",MIN(S7,FARMER_HRS)*FARMER_RATE+MAX(0,S7-FARMER_HRS)*TEMP_RATE)</f>
        <v>4865.48767089844</v>
      </c>
      <c r="U7" s="16" t="n">
        <f aca="false">IF(R7="","",R7*MES_FERT)</f>
        <v>2640</v>
      </c>
      <c r="V7" s="15" t="n">
        <f aca="false">IF(T7="","",T7+U7)</f>
        <v>7505.48767089844</v>
      </c>
      <c r="W7" s="16" t="n">
        <f aca="false">IF(R7="","",R7*MES_PRICE)</f>
        <v>8100</v>
      </c>
      <c r="X7" s="15" t="n">
        <f aca="false">IF(V7="","",W7-V7)</f>
        <v>594.512329101563</v>
      </c>
      <c r="Y7" s="15" t="n">
        <f aca="false">IF(V7="","",IF(V6="",V7,V7-V6))</f>
        <v>2541.87438964844</v>
      </c>
    </row>
    <row r="8" customFormat="false" ht="15" hidden="false" customHeight="false" outlineLevel="0" collapsed="false">
      <c r="B8" s="13" t="n">
        <f aca="false">IF(4&lt;=TOM_MAXBED,4,"")</f>
        <v>4</v>
      </c>
      <c r="C8" s="14" t="n">
        <f aca="false">IF(B8="","",B8*TOM_HRS*WEEKS*(1+TOM_DIM)^B8)</f>
        <v>527.076</v>
      </c>
      <c r="D8" s="15" t="n">
        <f aca="false">IF(C8="","",MIN(C8,FARMER_HRS)*FARMER_RATE+MAX(0,C8-FARMER_HRS)*TEMP_RATE)</f>
        <v>18301.25</v>
      </c>
      <c r="E8" s="16" t="n">
        <f aca="false">IF(B8="","",B8*TOM_FERT)</f>
        <v>3520</v>
      </c>
      <c r="F8" s="15" t="n">
        <f aca="false">IF(D8="","",D8+E8)</f>
        <v>21821.25</v>
      </c>
      <c r="G8" s="16" t="n">
        <f aca="false">IF(B8="","",B8*TOM_PRICE)</f>
        <v>35200</v>
      </c>
      <c r="H8" s="15" t="n">
        <f aca="false">IF(F8="","",G8-F8)</f>
        <v>13378.75</v>
      </c>
      <c r="I8" s="15" t="n">
        <f aca="false">IF(F8="","",IF(F7="",F8,F8-F7))</f>
        <v>6703.125</v>
      </c>
      <c r="J8" s="13" t="n">
        <f aca="false">IF(4&lt;=CAR_MAXBED,4,"")</f>
        <v>4</v>
      </c>
      <c r="K8" s="14" t="n">
        <f aca="false">IF(J8="","",J8*CAR_HRS*WEEKS*(1+CAR_DIM)^J8)</f>
        <v>132.457546875</v>
      </c>
      <c r="L8" s="15" t="n">
        <f aca="false">IF(K8="","",MIN(K8,FARMER_HRS)*FARMER_RATE+MAX(0,K8-FARMER_HRS)*TEMP_RATE)</f>
        <v>4599.22037760416</v>
      </c>
      <c r="M8" s="16" t="n">
        <f aca="false">IF(J8="","",J8*CAR_FERT)</f>
        <v>1760</v>
      </c>
      <c r="N8" s="15" t="n">
        <f aca="false">IF(L8="","",L8+M8)</f>
        <v>6359.22037760416</v>
      </c>
      <c r="O8" s="16" t="n">
        <f aca="false">IF(J8="","",J8*CAR_PRICE)</f>
        <v>8376</v>
      </c>
      <c r="P8" s="15" t="n">
        <f aca="false">IF(N8="","",O8-N8)</f>
        <v>2016.77962239584</v>
      </c>
      <c r="Q8" s="15" t="n">
        <f aca="false">IF(N8="","",IF(N7="",N8,N8-N7))</f>
        <v>1673.93717447917</v>
      </c>
      <c r="R8" s="13" t="n">
        <f aca="false">IF(4&lt;=MES_MAXBED,4,"")</f>
        <v>4</v>
      </c>
      <c r="S8" s="14" t="n">
        <f aca="false">IF(R8="","",R8*MES_HRS*WEEKS*(1+MES_DIM)^R8)</f>
        <v>189.170160644531</v>
      </c>
      <c r="T8" s="15" t="n">
        <f aca="false">IF(S8="","",MIN(S8,FARMER_HRS)*FARMER_RATE+MAX(0,S8-FARMER_HRS)*TEMP_RATE)</f>
        <v>6568.40835571289</v>
      </c>
      <c r="U8" s="16" t="n">
        <f aca="false">IF(R8="","",R8*MES_FERT)</f>
        <v>3520</v>
      </c>
      <c r="V8" s="15" t="n">
        <f aca="false">IF(T8="","",T8+U8)</f>
        <v>10088.4083557129</v>
      </c>
      <c r="W8" s="16" t="n">
        <f aca="false">IF(R8="","",R8*MES_PRICE)</f>
        <v>10800</v>
      </c>
      <c r="X8" s="15" t="n">
        <f aca="false">IF(V8="","",W8-V8)</f>
        <v>711.591644287111</v>
      </c>
      <c r="Y8" s="15" t="n">
        <f aca="false">IF(V8="","",IF(V7="",V8,V8-V7))</f>
        <v>2582.92068481445</v>
      </c>
    </row>
    <row r="9" customFormat="false" ht="15" hidden="false" customHeight="false" outlineLevel="0" collapsed="false">
      <c r="B9" s="13" t="n">
        <f aca="false">IF(5&lt;=TOM_MAXBED,5,"")</f>
        <v>5</v>
      </c>
      <c r="C9" s="14" t="n">
        <f aca="false">IF(B9="","",B9*TOM_HRS*WEEKS*(1+TOM_DIM)^B9)</f>
        <v>724.7295</v>
      </c>
      <c r="D9" s="15" t="n">
        <f aca="false">IF(C9="","",MIN(C9,FARMER_HRS)*FARMER_RATE+MAX(0,C9-FARMER_HRS)*TEMP_RATE)</f>
        <v>25082.109375</v>
      </c>
      <c r="E9" s="16" t="n">
        <f aca="false">IF(B9="","",B9*TOM_FERT)</f>
        <v>4400</v>
      </c>
      <c r="F9" s="15" t="n">
        <f aca="false">IF(D9="","",D9+E9)</f>
        <v>29482.109375</v>
      </c>
      <c r="G9" s="16" t="n">
        <f aca="false">IF(B9="","",B9*TOM_PRICE)</f>
        <v>44000</v>
      </c>
      <c r="H9" s="15" t="n">
        <f aca="false">IF(F9="","",G9-F9)</f>
        <v>14517.890625</v>
      </c>
      <c r="I9" s="15" t="n">
        <f aca="false">IF(F9="","",IF(F8="",F9,F9-F8))</f>
        <v>7660.859375</v>
      </c>
      <c r="J9" s="13" t="n">
        <f aca="false">IF(5&lt;=CAR_MAXBED,5,"")</f>
        <v>5</v>
      </c>
      <c r="K9" s="14" t="n">
        <f aca="false">IF(J9="","",J9*CAR_HRS*WEEKS*(1+CAR_DIM)^J9)</f>
        <v>169.711231933594</v>
      </c>
      <c r="L9" s="15" t="n">
        <f aca="false">IF(K9="","",MIN(K9,FARMER_HRS)*FARMER_RATE+MAX(0,K9-FARMER_HRS)*TEMP_RATE)</f>
        <v>5892.75110880534</v>
      </c>
      <c r="M9" s="16" t="n">
        <f aca="false">IF(J9="","",J9*CAR_FERT)</f>
        <v>2200</v>
      </c>
      <c r="N9" s="15" t="n">
        <f aca="false">IF(L9="","",L9+M9)</f>
        <v>8092.75110880534</v>
      </c>
      <c r="O9" s="16" t="n">
        <f aca="false">IF(J9="","",J9*CAR_PRICE)</f>
        <v>10470</v>
      </c>
      <c r="P9" s="15" t="n">
        <f aca="false">IF(N9="","",O9-N9)</f>
        <v>2377.24889119467</v>
      </c>
      <c r="Q9" s="15" t="n">
        <f aca="false">IF(N9="","",IF(N8="",N9,N9-N8))</f>
        <v>1733.53073120117</v>
      </c>
      <c r="R9" s="13" t="n">
        <f aca="false">IF(5&lt;=MES_MAXBED,5,"")</f>
        <v>5</v>
      </c>
      <c r="S9" s="14" t="n">
        <f aca="false">IF(R9="","",R9*MES_HRS*WEEKS*(1+MES_DIM)^R9)</f>
        <v>239.418484565735</v>
      </c>
      <c r="T9" s="15" t="n">
        <f aca="false">IF(S9="","",MIN(S9,FARMER_HRS)*FARMER_RATE+MAX(0,S9-FARMER_HRS)*TEMP_RATE)</f>
        <v>8313.14182519913</v>
      </c>
      <c r="U9" s="16" t="n">
        <f aca="false">IF(R9="","",R9*MES_FERT)</f>
        <v>4400</v>
      </c>
      <c r="V9" s="15" t="n">
        <f aca="false">IF(T9="","",T9+U9)</f>
        <v>12713.1418251991</v>
      </c>
      <c r="W9" s="16" t="n">
        <f aca="false">IF(R9="","",R9*MES_PRICE)</f>
        <v>13500</v>
      </c>
      <c r="X9" s="15" t="n">
        <f aca="false">IF(V9="","",W9-V9)</f>
        <v>786.858174800875</v>
      </c>
      <c r="Y9" s="15" t="n">
        <f aca="false">IF(V9="","",IF(V8="",V9,V9-V8))</f>
        <v>2624.73346948624</v>
      </c>
    </row>
    <row r="10" customFormat="false" ht="15" hidden="false" customHeight="false" outlineLevel="0" collapsed="false">
      <c r="B10" s="13" t="n">
        <f aca="false">IF(6&lt;=TOM_MAXBED,6,"")</f>
        <v>6</v>
      </c>
      <c r="C10" s="14" t="n">
        <f aca="false">IF(B10="","",B10*TOM_HRS*WEEKS*(1+TOM_DIM)^B10)</f>
        <v>956.64294</v>
      </c>
      <c r="D10" s="15" t="n">
        <f aca="false">IF(C10="","",MIN(C10,FARMER_HRS)*FARMER_RATE+MAX(0,C10-FARMER_HRS)*TEMP_RATE)</f>
        <v>29108.384375</v>
      </c>
      <c r="E10" s="16" t="n">
        <f aca="false">IF(B10="","",B10*TOM_FERT)</f>
        <v>5280</v>
      </c>
      <c r="F10" s="15" t="n">
        <f aca="false">IF(D10="","",D10+E10)</f>
        <v>34388.384375</v>
      </c>
      <c r="G10" s="16" t="n">
        <f aca="false">IF(B10="","",B10*TOM_PRICE)</f>
        <v>52800</v>
      </c>
      <c r="H10" s="15" t="n">
        <f aca="false">IF(F10="","",G10-F10)</f>
        <v>18411.615625</v>
      </c>
      <c r="I10" s="15" t="n">
        <f aca="false">IF(F10="","",IF(F9="",F10,F10-F9))</f>
        <v>4906.27500000001</v>
      </c>
      <c r="J10" s="13" t="n">
        <f aca="false">IF(6&lt;=CAR_MAXBED,6,"")</f>
        <v>6</v>
      </c>
      <c r="K10" s="14" t="n">
        <f aca="false">IF(J10="","",J10*CAR_HRS*WEEKS*(1+CAR_DIM)^J10)</f>
        <v>208.74481527832</v>
      </c>
      <c r="L10" s="15" t="n">
        <f aca="false">IF(K10="","",MIN(K10,FARMER_HRS)*FARMER_RATE+MAX(0,K10-FARMER_HRS)*TEMP_RATE)</f>
        <v>7248.08386383056</v>
      </c>
      <c r="M10" s="16" t="n">
        <f aca="false">IF(J10="","",J10*CAR_FERT)</f>
        <v>2640</v>
      </c>
      <c r="N10" s="15" t="n">
        <f aca="false">IF(L10="","",L10+M10)</f>
        <v>9888.08386383056</v>
      </c>
      <c r="O10" s="16" t="n">
        <f aca="false">IF(J10="","",J10*CAR_PRICE)</f>
        <v>12564</v>
      </c>
      <c r="P10" s="15" t="n">
        <f aca="false">IF(N10="","",O10-N10)</f>
        <v>2675.91613616944</v>
      </c>
      <c r="Q10" s="15" t="n">
        <f aca="false">IF(N10="","",IF(N9="",N10,N10-N9))</f>
        <v>1795.33275502523</v>
      </c>
      <c r="R10" s="13" t="n">
        <f aca="false">IF(6&lt;=MES_MAXBED,6,"")</f>
        <v>6</v>
      </c>
      <c r="S10" s="14" t="n">
        <f aca="false">IF(R10="","",R10*MES_HRS*WEEKS*(1+MES_DIM)^R10)</f>
        <v>290.893458747368</v>
      </c>
      <c r="T10" s="15" t="n">
        <f aca="false">IF(S10="","",MIN(S10,FARMER_HRS)*FARMER_RATE+MAX(0,S10-FARMER_HRS)*TEMP_RATE)</f>
        <v>10100.4673176169</v>
      </c>
      <c r="U10" s="16" t="n">
        <f aca="false">IF(R10="","",R10*MES_FERT)</f>
        <v>5280</v>
      </c>
      <c r="V10" s="15" t="n">
        <f aca="false">IF(T10="","",T10+U10)</f>
        <v>15380.4673176169</v>
      </c>
      <c r="W10" s="16" t="n">
        <f aca="false">IF(R10="","",R10*MES_PRICE)</f>
        <v>16200</v>
      </c>
      <c r="X10" s="15" t="n">
        <f aca="false">IF(V10="","",W10-V10)</f>
        <v>819.532682383066</v>
      </c>
      <c r="Y10" s="15" t="n">
        <f aca="false">IF(V10="","",IF(V9="",V10,V10-V9))</f>
        <v>2667.32549241781</v>
      </c>
    </row>
    <row r="11" customFormat="false" ht="15" hidden="false" customHeight="false" outlineLevel="0" collapsed="false">
      <c r="B11" s="13" t="n">
        <f aca="false">IF(7&lt;=TOM_MAXBED,7,"")</f>
        <v>7</v>
      </c>
      <c r="C11" s="14" t="n">
        <f aca="false">IF(B11="","",B11*TOM_HRS*WEEKS*(1+TOM_DIM)^B11)</f>
        <v>1227.691773</v>
      </c>
      <c r="D11" s="15" t="n">
        <f aca="false">IF(C11="","",MIN(C11,FARMER_HRS)*FARMER_RATE+MAX(0,C11-FARMER_HRS)*TEMP_RATE)</f>
        <v>33814.09328125</v>
      </c>
      <c r="E11" s="16" t="n">
        <f aca="false">IF(B11="","",B11*TOM_FERT)</f>
        <v>6160</v>
      </c>
      <c r="F11" s="15" t="n">
        <f aca="false">IF(D11="","",D11+E11)</f>
        <v>39974.09328125</v>
      </c>
      <c r="G11" s="16" t="n">
        <f aca="false">IF(B11="","",B11*TOM_PRICE)</f>
        <v>61600</v>
      </c>
      <c r="H11" s="15" t="n">
        <f aca="false">IF(F11="","",G11-F11)</f>
        <v>21625.90671875</v>
      </c>
      <c r="I11" s="15" t="n">
        <f aca="false">IF(F11="","",IF(F10="",F11,F11-F10))</f>
        <v>5585.70890625</v>
      </c>
      <c r="J11" s="13" t="n">
        <f aca="false">IF(7&lt;=CAR_MAXBED,7,"")</f>
        <v>7</v>
      </c>
      <c r="K11" s="14" t="n">
        <f aca="false">IF(J11="","",J11*CAR_HRS*WEEKS*(1+CAR_DIM)^J11)</f>
        <v>249.624008270325</v>
      </c>
      <c r="L11" s="15" t="n">
        <f aca="false">IF(K11="","",MIN(K11,FARMER_HRS)*FARMER_RATE+MAX(0,K11-FARMER_HRS)*TEMP_RATE)</f>
        <v>8667.50028716405</v>
      </c>
      <c r="M11" s="16" t="n">
        <f aca="false">IF(J11="","",J11*CAR_FERT)</f>
        <v>3080</v>
      </c>
      <c r="N11" s="15" t="n">
        <f aca="false">IF(L11="","",L11+M11)</f>
        <v>11747.5002871641</v>
      </c>
      <c r="O11" s="16" t="n">
        <f aca="false">IF(J11="","",J11*CAR_PRICE)</f>
        <v>14658</v>
      </c>
      <c r="P11" s="15" t="n">
        <f aca="false">IF(N11="","",O11-N11)</f>
        <v>2910.49971283595</v>
      </c>
      <c r="Q11" s="15" t="n">
        <f aca="false">IF(N11="","",IF(N10="",N11,N11-N10))</f>
        <v>1859.41642333349</v>
      </c>
      <c r="R11" s="13" t="n">
        <f aca="false">IF(7&lt;=MES_MAXBED,7,"")</f>
        <v>7</v>
      </c>
      <c r="S11" s="14" t="n">
        <f aca="false">IF(R11="","",R11*MES_HRS*WEEKS*(1+MES_DIM)^R11)</f>
        <v>343.617898145328</v>
      </c>
      <c r="T11" s="15" t="n">
        <f aca="false">IF(S11="","",MIN(S11,FARMER_HRS)*FARMER_RATE+MAX(0,S11-FARMER_HRS)*TEMP_RATE)</f>
        <v>11931.177018935</v>
      </c>
      <c r="U11" s="16" t="n">
        <f aca="false">IF(R11="","",R11*MES_FERT)</f>
        <v>6160</v>
      </c>
      <c r="V11" s="15" t="n">
        <f aca="false">IF(T11="","",T11+U11)</f>
        <v>18091.177018935</v>
      </c>
      <c r="W11" s="16" t="n">
        <f aca="false">IF(R11="","",R11*MES_PRICE)</f>
        <v>18900</v>
      </c>
      <c r="X11" s="15" t="n">
        <f aca="false">IF(V11="","",W11-V11)</f>
        <v>808.822981064994</v>
      </c>
      <c r="Y11" s="15" t="n">
        <f aca="false">IF(V11="","",IF(V10="",V11,V11-V10))</f>
        <v>2710.70970131807</v>
      </c>
    </row>
    <row r="12" customFormat="false" ht="15" hidden="false" customHeight="false" outlineLevel="0" collapsed="false">
      <c r="B12" s="13" t="n">
        <f aca="false">IF(8&lt;=TOM_MAXBED,8,"")</f>
        <v>8</v>
      </c>
      <c r="C12" s="14" t="n">
        <f aca="false">IF(B12="","",B12*TOM_HRS*WEEKS*(1+TOM_DIM)^B12)</f>
        <v>1543.3839432</v>
      </c>
      <c r="D12" s="15" t="n">
        <f aca="false">IF(C12="","",MIN(C12,FARMER_HRS)*FARMER_RATE+MAX(0,C12-FARMER_HRS)*TEMP_RATE)</f>
        <v>39294.860125</v>
      </c>
      <c r="E12" s="16" t="n">
        <f aca="false">IF(B12="","",B12*TOM_FERT)</f>
        <v>7040</v>
      </c>
      <c r="F12" s="15" t="n">
        <f aca="false">IF(D12="","",D12+E12)</f>
        <v>46334.860125</v>
      </c>
      <c r="G12" s="16" t="n">
        <f aca="false">IF(B12="","",B12*TOM_PRICE)</f>
        <v>70400</v>
      </c>
      <c r="H12" s="15" t="n">
        <f aca="false">IF(F12="","",G12-F12)</f>
        <v>24065.139875</v>
      </c>
      <c r="I12" s="15" t="n">
        <f aca="false">IF(F12="","",IF(F11="",F12,F12-F11))</f>
        <v>6360.76684375001</v>
      </c>
      <c r="J12" s="13" t="n">
        <f aca="false">IF(8&lt;=CAR_MAXBED,8,"")</f>
        <v>8</v>
      </c>
      <c r="K12" s="14" t="n">
        <f aca="false">IF(J12="","",J12*CAR_HRS*WEEKS*(1+CAR_DIM)^J12)</f>
        <v>292.41669540238</v>
      </c>
      <c r="L12" s="15" t="n">
        <f aca="false">IF(K12="","",MIN(K12,FARMER_HRS)*FARMER_RATE+MAX(0,K12-FARMER_HRS)*TEMP_RATE)</f>
        <v>10153.3574792493</v>
      </c>
      <c r="M12" s="16" t="n">
        <f aca="false">IF(J12="","",J12*CAR_FERT)</f>
        <v>3520</v>
      </c>
      <c r="N12" s="15" t="n">
        <f aca="false">IF(L12="","",L12+M12)</f>
        <v>13673.3574792493</v>
      </c>
      <c r="O12" s="16" t="n">
        <f aca="false">IF(J12="","",J12*CAR_PRICE)</f>
        <v>16752</v>
      </c>
      <c r="P12" s="15" t="n">
        <f aca="false">IF(N12="","",O12-N12)</f>
        <v>3078.64252075069</v>
      </c>
      <c r="Q12" s="15" t="n">
        <f aca="false">IF(N12="","",IF(N11="",N12,N12-N11))</f>
        <v>1925.85719208526</v>
      </c>
      <c r="R12" s="13" t="n">
        <f aca="false">IF(8&lt;=MES_MAXBED,8,"")</f>
        <v>8</v>
      </c>
      <c r="S12" s="14" t="n">
        <f aca="false">IF(R12="","",R12*MES_HRS*WEEKS*(1+MES_DIM)^R12)</f>
        <v>397.614996425308</v>
      </c>
      <c r="T12" s="15" t="n">
        <f aca="false">IF(S12="","",MIN(S12,FARMER_HRS)*FARMER_RATE+MAX(0,S12-FARMER_HRS)*TEMP_RATE)</f>
        <v>13806.0762647677</v>
      </c>
      <c r="U12" s="16" t="n">
        <f aca="false">IF(R12="","",R12*MES_FERT)</f>
        <v>7040</v>
      </c>
      <c r="V12" s="15" t="n">
        <f aca="false">IF(T12="","",T12+U12)</f>
        <v>20846.0762647677</v>
      </c>
      <c r="W12" s="16" t="n">
        <f aca="false">IF(R12="","",R12*MES_PRICE)</f>
        <v>21600</v>
      </c>
      <c r="X12" s="15" t="n">
        <f aca="false">IF(V12="","",W12-V12)</f>
        <v>753.923735232351</v>
      </c>
      <c r="Y12" s="15" t="n">
        <f aca="false">IF(V12="","",IF(V11="",V12,V12-V11))</f>
        <v>2754.89924583264</v>
      </c>
    </row>
    <row r="13" customFormat="false" ht="15" hidden="false" customHeight="false" outlineLevel="0" collapsed="false">
      <c r="B13" s="13" t="n">
        <f aca="false">IF(9&lt;=TOM_MAXBED,9,"")</f>
        <v>9</v>
      </c>
      <c r="C13" s="14" t="n">
        <f aca="false">IF(B13="","",B13*TOM_HRS*WEEKS*(1+TOM_DIM)^B13)</f>
        <v>1909.93762971</v>
      </c>
      <c r="D13" s="15" t="n">
        <f aca="false">IF(C13="","",MIN(C13,FARMER_HRS)*FARMER_RATE+MAX(0,C13-FARMER_HRS)*TEMP_RATE)</f>
        <v>45658.6394046875</v>
      </c>
      <c r="E13" s="16" t="n">
        <f aca="false">IF(B13="","",B13*TOM_FERT)</f>
        <v>7920</v>
      </c>
      <c r="F13" s="15" t="n">
        <f aca="false">IF(D13="","",D13+E13)</f>
        <v>53578.6394046875</v>
      </c>
      <c r="G13" s="16" t="n">
        <f aca="false">IF(B13="","",B13*TOM_PRICE)</f>
        <v>79200</v>
      </c>
      <c r="H13" s="15" t="n">
        <f aca="false">IF(F13="","",G13-F13)</f>
        <v>25621.3605953125</v>
      </c>
      <c r="I13" s="15" t="n">
        <f aca="false">IF(F13="","",IF(F12="",F13,F13-F12))</f>
        <v>7243.77927968751</v>
      </c>
      <c r="J13" s="13" t="n">
        <f aca="false">IF(9&lt;=CAR_MAXBED,9,"")</f>
        <v>9</v>
      </c>
      <c r="K13" s="14" t="n">
        <f aca="false">IF(J13="","",J13*CAR_HRS*WEEKS*(1+CAR_DIM)^J13)</f>
        <v>337.19300188587</v>
      </c>
      <c r="L13" s="15" t="n">
        <f aca="false">IF(K13="","",MIN(K13,FARMER_HRS)*FARMER_RATE+MAX(0,K13-FARMER_HRS)*TEMP_RATE)</f>
        <v>11708.0903432594</v>
      </c>
      <c r="M13" s="16" t="n">
        <f aca="false">IF(J13="","",J13*CAR_FERT)</f>
        <v>3960</v>
      </c>
      <c r="N13" s="15" t="n">
        <f aca="false">IF(L13="","",L13+M13)</f>
        <v>15668.0903432594</v>
      </c>
      <c r="O13" s="16" t="n">
        <f aca="false">IF(J13="","",J13*CAR_PRICE)</f>
        <v>18846</v>
      </c>
      <c r="P13" s="15" t="n">
        <f aca="false">IF(N13="","",O13-N13)</f>
        <v>3177.90965674064</v>
      </c>
      <c r="Q13" s="15" t="n">
        <f aca="false">IF(N13="","",IF(N12="",N13,N13-N12))</f>
        <v>1994.73286401005</v>
      </c>
      <c r="R13" s="13" t="n">
        <f aca="false">IF(9&lt;=MES_MAXBED,9,"")</f>
        <v>9</v>
      </c>
      <c r="S13" s="14" t="n">
        <f aca="false">IF(R13="","",R13*MES_HRS*WEEKS*(1+MES_DIM)^R13)</f>
        <v>452.908331865703</v>
      </c>
      <c r="T13" s="15" t="n">
        <f aca="false">IF(S13="","",MIN(S13,FARMER_HRS)*FARMER_RATE+MAX(0,S13-FARMER_HRS)*TEMP_RATE)</f>
        <v>15725.9837453369</v>
      </c>
      <c r="U13" s="16" t="n">
        <f aca="false">IF(R13="","",R13*MES_FERT)</f>
        <v>7920</v>
      </c>
      <c r="V13" s="15" t="n">
        <f aca="false">IF(T13="","",T13+U13)</f>
        <v>23645.9837453369</v>
      </c>
      <c r="W13" s="16" t="n">
        <f aca="false">IF(R13="","",R13*MES_PRICE)</f>
        <v>24300</v>
      </c>
      <c r="X13" s="15" t="n">
        <f aca="false">IF(V13="","",W13-V13)</f>
        <v>654.0162546631</v>
      </c>
      <c r="Y13" s="15" t="n">
        <f aca="false">IF(V13="","",IF(V12="",V13,V13-V12))</f>
        <v>2799.90748056925</v>
      </c>
    </row>
    <row r="14" customFormat="false" ht="15" hidden="false" customHeight="false" outlineLevel="0" collapsed="false">
      <c r="B14" s="13" t="n">
        <f aca="false">IF(10&lt;=TOM_MAXBED,10,"")</f>
        <v>10</v>
      </c>
      <c r="C14" s="14" t="n">
        <f aca="false">IF(B14="","",B14*TOM_HRS*WEEKS*(1+TOM_DIM)^B14)</f>
        <v>2334.36821409</v>
      </c>
      <c r="D14" s="15" t="n">
        <f aca="false">IF(C14="","",MIN(C14,FARMER_HRS)*FARMER_RATE+MAX(0,C14-FARMER_HRS)*TEMP_RATE)</f>
        <v>53027.2259390625</v>
      </c>
      <c r="E14" s="16" t="n">
        <f aca="false">IF(B14="","",B14*TOM_FERT)</f>
        <v>8800</v>
      </c>
      <c r="F14" s="15" t="n">
        <f aca="false">IF(D14="","",D14+E14)</f>
        <v>61827.2259390625</v>
      </c>
      <c r="G14" s="16" t="n">
        <f aca="false">IF(B14="","",B14*TOM_PRICE)</f>
        <v>88000</v>
      </c>
      <c r="H14" s="15" t="n">
        <f aca="false">IF(F14="","",G14-F14)</f>
        <v>26172.7740609375</v>
      </c>
      <c r="I14" s="15" t="n">
        <f aca="false">IF(F14="","",IF(F13="",F14,F14-F13))</f>
        <v>8248.58653437501</v>
      </c>
      <c r="J14" s="13" t="n">
        <f aca="false">IF(10&lt;=CAR_MAXBED,10,"")</f>
        <v>10</v>
      </c>
      <c r="K14" s="14" t="n">
        <f aca="false">IF(J14="","",J14*CAR_HRS*WEEKS*(1+CAR_DIM)^J14)</f>
        <v>384.025363258907</v>
      </c>
      <c r="L14" s="15" t="n">
        <f aca="false">IF(K14="","",MIN(K14,FARMER_HRS)*FARMER_RATE+MAX(0,K14-FARMER_HRS)*TEMP_RATE)</f>
        <v>13334.2140020454</v>
      </c>
      <c r="M14" s="16" t="n">
        <f aca="false">IF(J14="","",J14*CAR_FERT)</f>
        <v>4400</v>
      </c>
      <c r="N14" s="15" t="n">
        <f aca="false">IF(L14="","",L14+M14)</f>
        <v>17734.2140020454</v>
      </c>
      <c r="O14" s="16" t="n">
        <f aca="false">IF(J14="","",J14*CAR_PRICE)</f>
        <v>20940</v>
      </c>
      <c r="P14" s="15" t="n">
        <f aca="false">IF(N14="","",O14-N14)</f>
        <v>3205.78599795462</v>
      </c>
      <c r="Q14" s="15" t="n">
        <f aca="false">IF(N14="","",IF(N13="",N14,N14-N13))</f>
        <v>2066.12365878602</v>
      </c>
      <c r="R14" s="13" t="n">
        <f aca="false">IF(10&lt;=MES_MAXBED,10,"")</f>
        <v>10</v>
      </c>
      <c r="S14" s="14" t="n">
        <f aca="false">IF(R14="","",R14*MES_HRS*WEEKS*(1+MES_DIM)^R14)</f>
        <v>509.521873348916</v>
      </c>
      <c r="T14" s="15" t="n">
        <f aca="false">IF(S14="","",MIN(S14,FARMER_HRS)*FARMER_RATE+MAX(0,S14-FARMER_HRS)*TEMP_RATE)</f>
        <v>17691.731713504</v>
      </c>
      <c r="U14" s="16" t="n">
        <f aca="false">IF(R14="","",R14*MES_FERT)</f>
        <v>8800</v>
      </c>
      <c r="V14" s="15" t="n">
        <f aca="false">IF(T14="","",T14+U14)</f>
        <v>26491.731713504</v>
      </c>
      <c r="W14" s="16" t="n">
        <f aca="false">IF(R14="","",R14*MES_PRICE)</f>
        <v>27000</v>
      </c>
      <c r="X14" s="15" t="n">
        <f aca="false">IF(V14="","",W14-V14)</f>
        <v>508.26828649599</v>
      </c>
      <c r="Y14" s="15" t="n">
        <f aca="false">IF(V14="","",IF(V13="",V14,V14-V13))</f>
        <v>2845.74796816711</v>
      </c>
    </row>
    <row r="15" customFormat="false" ht="15" hidden="false" customHeight="false" outlineLevel="0" collapsed="false">
      <c r="B15" s="13" t="n">
        <f aca="false">IF(11&lt;=TOM_MAXBED,11,"")</f>
        <v>11</v>
      </c>
      <c r="C15" s="14" t="n">
        <f aca="false">IF(B15="","",B15*TOM_HRS*WEEKS*(1+TOM_DIM)^B15)</f>
        <v>2824.5855390489</v>
      </c>
      <c r="D15" s="15" t="n">
        <f aca="false">IF(C15="","",MIN(C15,FARMER_HRS)*FARMER_RATE+MAX(0,C15-FARMER_HRS)*TEMP_RATE)</f>
        <v>61537.9433862657</v>
      </c>
      <c r="E15" s="16" t="n">
        <f aca="false">IF(B15="","",B15*TOM_FERT)</f>
        <v>9680</v>
      </c>
      <c r="F15" s="15" t="n">
        <f aca="false">IF(D15="","",D15+E15)</f>
        <v>71217.9433862657</v>
      </c>
      <c r="G15" s="16" t="n">
        <f aca="false">IF(B15="","",B15*TOM_PRICE)</f>
        <v>96800</v>
      </c>
      <c r="H15" s="15" t="n">
        <f aca="false">IF(F15="","",G15-F15)</f>
        <v>25582.0566137343</v>
      </c>
      <c r="I15" s="15" t="n">
        <f aca="false">IF(F15="","",IF(F14="",F15,F15-F14))</f>
        <v>9390.71744720313</v>
      </c>
      <c r="J15" s="13" t="n">
        <f aca="false">IF(11&lt;=CAR_MAXBED,11,"")</f>
        <v>11</v>
      </c>
      <c r="K15" s="14" t="n">
        <f aca="false">IF(J15="","",J15*CAR_HRS*WEEKS*(1+CAR_DIM)^J15)</f>
        <v>432.988597074418</v>
      </c>
      <c r="L15" s="15" t="n">
        <f aca="false">IF(K15="","",MIN(K15,FARMER_HRS)*FARMER_RATE+MAX(0,K15-FARMER_HRS)*TEMP_RATE)</f>
        <v>15034.3262873062</v>
      </c>
      <c r="M15" s="16" t="n">
        <f aca="false">IF(J15="","",J15*CAR_FERT)</f>
        <v>4840</v>
      </c>
      <c r="N15" s="15" t="n">
        <f aca="false">IF(L15="","",L15+M15)</f>
        <v>19874.3262873062</v>
      </c>
      <c r="O15" s="16" t="n">
        <f aca="false">IF(J15="","",J15*CAR_PRICE)</f>
        <v>23034</v>
      </c>
      <c r="P15" s="15" t="n">
        <f aca="false">IF(N15="","",O15-N15)</f>
        <v>3159.67371269383</v>
      </c>
      <c r="Q15" s="15" t="n">
        <f aca="false">IF(N15="","",IF(N14="",N15,N15-N14))</f>
        <v>2140.11228526079</v>
      </c>
      <c r="R15" s="13" t="n">
        <f aca="false">IF(11&lt;=MES_MAXBED,11,"")</f>
        <v>11</v>
      </c>
      <c r="S15" s="14" t="n">
        <f aca="false">IF(R15="","",R15*MES_HRS*WEEKS*(1+MES_DIM)^R15)</f>
        <v>567.479986442355</v>
      </c>
      <c r="T15" s="15" t="n">
        <f aca="false">IF(S15="","",MIN(S15,FARMER_HRS)*FARMER_RATE+MAX(0,S15-FARMER_HRS)*TEMP_RATE)</f>
        <v>19704.1661959151</v>
      </c>
      <c r="U15" s="16" t="n">
        <f aca="false">IF(R15="","",R15*MES_FERT)</f>
        <v>9680</v>
      </c>
      <c r="V15" s="15" t="n">
        <f aca="false">IF(T15="","",T15+U15)</f>
        <v>29384.1661959151</v>
      </c>
      <c r="W15" s="16" t="n">
        <f aca="false">IF(R15="","",R15*MES_PRICE)</f>
        <v>29700</v>
      </c>
      <c r="X15" s="15" t="n">
        <f aca="false">IF(V15="","",W15-V15)</f>
        <v>315.833804084909</v>
      </c>
      <c r="Y15" s="15" t="n">
        <f aca="false">IF(V15="","",IF(V14="",V15,V15-V14))</f>
        <v>2892.43448241108</v>
      </c>
    </row>
    <row r="16" customFormat="false" ht="15" hidden="false" customHeight="false" outlineLevel="0" collapsed="false">
      <c r="B16" s="13" t="n">
        <f aca="false">IF(12&lt;=TOM_MAXBED,12,"")</f>
        <v>12</v>
      </c>
      <c r="C16" s="14" t="n">
        <f aca="false">IF(B16="","",B16*TOM_HRS*WEEKS*(1+TOM_DIM)^B16)</f>
        <v>3389.50264685868</v>
      </c>
      <c r="D16" s="15" t="n">
        <f aca="false">IF(C16="","",MIN(C16,FARMER_HRS)*FARMER_RATE+MAX(0,C16-FARMER_HRS)*TEMP_RATE)</f>
        <v>71345.5320635188</v>
      </c>
      <c r="E16" s="16" t="n">
        <f aca="false">IF(B16="","",B16*TOM_FERT)</f>
        <v>10560</v>
      </c>
      <c r="F16" s="15" t="n">
        <f aca="false">IF(D16="","",D16+E16)</f>
        <v>81905.5320635188</v>
      </c>
      <c r="G16" s="16" t="n">
        <f aca="false">IF(B16="","",B16*TOM_PRICE)</f>
        <v>105600</v>
      </c>
      <c r="H16" s="15" t="n">
        <f aca="false">IF(F16="","",G16-F16)</f>
        <v>23694.4679364812</v>
      </c>
      <c r="I16" s="15" t="n">
        <f aca="false">IF(F16="","",IF(F15="",F16,F16-F15))</f>
        <v>10687.5886772532</v>
      </c>
      <c r="J16" s="13" t="n">
        <f aca="false">IF(12&lt;=CAR_MAXBED,12,"")</f>
        <v>12</v>
      </c>
      <c r="K16" s="14" t="n">
        <f aca="false">IF(J16="","",J16*CAR_HRS*WEEKS*(1+CAR_DIM)^J16)</f>
        <v>484.159976728667</v>
      </c>
      <c r="L16" s="15" t="n">
        <f aca="false">IF(K16="","",MIN(K16,FARMER_HRS)*FARMER_RATE+MAX(0,K16-FARMER_HRS)*TEMP_RATE)</f>
        <v>16811.1103030787</v>
      </c>
      <c r="M16" s="16" t="n">
        <f aca="false">IF(J16="","",J16*CAR_FERT)</f>
        <v>5280</v>
      </c>
      <c r="N16" s="15" t="n">
        <f aca="false">IF(L16="","",L16+M16)</f>
        <v>22091.1103030787</v>
      </c>
      <c r="O16" s="16" t="n">
        <f aca="false">IF(J16="","",J16*CAR_PRICE)</f>
        <v>25128</v>
      </c>
      <c r="P16" s="15" t="n">
        <f aca="false">IF(N16="","",O16-N16)</f>
        <v>3036.88969692129</v>
      </c>
      <c r="Q16" s="15" t="n">
        <f aca="false">IF(N16="","",IF(N15="",N16,N16-N15))</f>
        <v>2216.78401577254</v>
      </c>
      <c r="R16" s="13" t="n">
        <f aca="false">IF(12&lt;=MES_MAXBED,12,"")</f>
        <v>12</v>
      </c>
      <c r="S16" s="14" t="n">
        <f aca="false">IF(R16="","",R16*MES_HRS*WEEKS*(1+MES_DIM)^R16)</f>
        <v>626.807439570419</v>
      </c>
      <c r="T16" s="15" t="n">
        <f aca="false">IF(S16="","",MIN(S16,FARMER_HRS)*FARMER_RATE+MAX(0,S16-FARMER_HRS)*TEMP_RATE)</f>
        <v>21764.1472073062</v>
      </c>
      <c r="U16" s="16" t="n">
        <f aca="false">IF(R16="","",R16*MES_FERT)</f>
        <v>10560</v>
      </c>
      <c r="V16" s="15" t="n">
        <f aca="false">IF(T16="","",T16+U16)</f>
        <v>32324.1472073062</v>
      </c>
      <c r="W16" s="16" t="n">
        <f aca="false">IF(R16="","",R16*MES_PRICE)</f>
        <v>32400</v>
      </c>
      <c r="X16" s="15" t="n">
        <f aca="false">IF(V16="","",W16-V16)</f>
        <v>75.8527926937859</v>
      </c>
      <c r="Y16" s="15" t="n">
        <f aca="false">IF(V16="","",IF(V15="",V16,V16-V15))</f>
        <v>2939.98101139112</v>
      </c>
    </row>
    <row r="17" customFormat="false" ht="15" hidden="false" customHeight="false" outlineLevel="0" collapsed="false">
      <c r="B17" s="13" t="n">
        <f aca="false">IF(13&lt;=TOM_MAXBED,13,"")</f>
        <v>13</v>
      </c>
      <c r="C17" s="14" t="n">
        <f aca="false">IF(B17="","",B17*TOM_HRS*WEEKS*(1+TOM_DIM)^B17)</f>
        <v>4039.15732083993</v>
      </c>
      <c r="D17" s="15" t="n">
        <f aca="false">IF(C17="","",MIN(C17,FARMER_HRS)*FARMER_RATE+MAX(0,C17-FARMER_HRS)*TEMP_RATE)</f>
        <v>82624.2590423599</v>
      </c>
      <c r="E17" s="16" t="n">
        <f aca="false">IF(B17="","",B17*TOM_FERT)</f>
        <v>11440</v>
      </c>
      <c r="F17" s="15" t="n">
        <f aca="false">IF(D17="","",D17+E17)</f>
        <v>94064.2590423599</v>
      </c>
      <c r="G17" s="16" t="n">
        <f aca="false">IF(B17="","",B17*TOM_PRICE)</f>
        <v>114400</v>
      </c>
      <c r="H17" s="15" t="n">
        <f aca="false">IF(F17="","",G17-F17)</f>
        <v>20335.7409576401</v>
      </c>
      <c r="I17" s="15" t="n">
        <f aca="false">IF(F17="","",IF(F16="",F17,F17-F16))</f>
        <v>12158.7269788411</v>
      </c>
      <c r="J17" s="13" t="n">
        <f aca="false">IF(13&lt;=CAR_MAXBED,13,"")</f>
        <v>13</v>
      </c>
      <c r="K17" s="14" t="n">
        <f aca="false">IF(J17="","",J17*CAR_HRS*WEEKS*(1+CAR_DIM)^J17)</f>
        <v>537.619307492457</v>
      </c>
      <c r="L17" s="15" t="n">
        <f aca="false">IF(K17="","",MIN(K17,FARMER_HRS)*FARMER_RATE+MAX(0,K17-FARMER_HRS)*TEMP_RATE)</f>
        <v>18667.3370657103</v>
      </c>
      <c r="M17" s="16" t="n">
        <f aca="false">IF(J17="","",J17*CAR_FERT)</f>
        <v>5720</v>
      </c>
      <c r="N17" s="15" t="n">
        <f aca="false">IF(L17="","",L17+M17)</f>
        <v>24387.3370657103</v>
      </c>
      <c r="O17" s="16" t="n">
        <f aca="false">IF(J17="","",J17*CAR_PRICE)</f>
        <v>27222</v>
      </c>
      <c r="P17" s="15" t="n">
        <f aca="false">IF(N17="","",O17-N17)</f>
        <v>2834.66293428969</v>
      </c>
      <c r="Q17" s="15" t="n">
        <f aca="false">IF(N17="","",IF(N16="",N17,N17-N16))</f>
        <v>2296.2267626316</v>
      </c>
      <c r="R17" s="13" t="n">
        <f aca="false">IF(13&lt;=MES_MAXBED,13,"")</f>
        <v>13</v>
      </c>
      <c r="S17" s="14" t="n">
        <f aca="false">IF(R17="","",R17*MES_HRS*WEEKS*(1+MES_DIM)^R17)</f>
        <v>687.529410278803</v>
      </c>
      <c r="T17" s="15" t="n">
        <f aca="false">IF(S17="","",MIN(S17,FARMER_HRS)*FARMER_RATE+MAX(0,S17-FARMER_HRS)*TEMP_RATE)</f>
        <v>23872.548968014</v>
      </c>
      <c r="U17" s="16" t="n">
        <f aca="false">IF(R17="","",R17*MES_FERT)</f>
        <v>11440</v>
      </c>
      <c r="V17" s="15" t="n">
        <f aca="false">IF(T17="","",T17+U17)</f>
        <v>35312.548968014</v>
      </c>
      <c r="W17" s="16" t="n">
        <f aca="false">IF(R17="","",R17*MES_PRICE)</f>
        <v>35100</v>
      </c>
      <c r="X17" s="15" t="n">
        <f aca="false">IF(V17="","",W17-V17)</f>
        <v>-212.548968014002</v>
      </c>
      <c r="Y17" s="15" t="n">
        <f aca="false">IF(V17="","",IF(V16="",V17,V17-V16))</f>
        <v>2988.40176070779</v>
      </c>
    </row>
    <row r="18" customFormat="false" ht="15" hidden="false" customHeight="false" outlineLevel="0" collapsed="false">
      <c r="B18" s="13" t="n">
        <f aca="false">IF(14&lt;=TOM_MAXBED,14,"")</f>
        <v>14</v>
      </c>
      <c r="C18" s="14" t="n">
        <f aca="false">IF(B18="","",B18*TOM_HRS*WEEKS*(1+TOM_DIM)^B18)</f>
        <v>4784.84790314884</v>
      </c>
      <c r="D18" s="15" t="n">
        <f aca="false">IF(C18="","",MIN(C18,FARMER_HRS)*FARMER_RATE+MAX(0,C18-FARMER_HRS)*TEMP_RATE)</f>
        <v>95570.2760963341</v>
      </c>
      <c r="E18" s="16" t="n">
        <f aca="false">IF(B18="","",B18*TOM_FERT)</f>
        <v>12320</v>
      </c>
      <c r="F18" s="15" t="n">
        <f aca="false">IF(D18="","",D18+E18)</f>
        <v>107890.276096334</v>
      </c>
      <c r="G18" s="16" t="n">
        <f aca="false">IF(B18="","",B18*TOM_PRICE)</f>
        <v>123200</v>
      </c>
      <c r="H18" s="15" t="n">
        <f aca="false">IF(F18="","",G18-F18)</f>
        <v>15309.7239036659</v>
      </c>
      <c r="I18" s="15" t="n">
        <f aca="false">IF(F18="","",IF(F17="",F18,F18-F17))</f>
        <v>13826.0170539742</v>
      </c>
      <c r="J18" s="13" t="n">
        <f aca="false">IF(14&lt;=CAR_MAXBED,14,"")</f>
        <v>14</v>
      </c>
      <c r="K18" s="14" t="n">
        <f aca="false">IF(J18="","",J18*CAR_HRS*WEEKS*(1+CAR_DIM)^J18)</f>
        <v>593.449004808982</v>
      </c>
      <c r="L18" s="15" t="n">
        <f aca="false">IF(K18="","",MIN(K18,FARMER_HRS)*FARMER_RATE+MAX(0,K18-FARMER_HRS)*TEMP_RATE)</f>
        <v>20605.8682225341</v>
      </c>
      <c r="M18" s="16" t="n">
        <f aca="false">IF(J18="","",J18*CAR_FERT)</f>
        <v>6160</v>
      </c>
      <c r="N18" s="15" t="n">
        <f aca="false">IF(L18="","",L18+M18)</f>
        <v>26765.8682225341</v>
      </c>
      <c r="O18" s="16" t="n">
        <f aca="false">IF(J18="","",J18*CAR_PRICE)</f>
        <v>29316</v>
      </c>
      <c r="P18" s="15" t="n">
        <f aca="false">IF(N18="","",O18-N18)</f>
        <v>2550.13177746592</v>
      </c>
      <c r="Q18" s="15" t="n">
        <f aca="false">IF(N18="","",IF(N17="",N18,N18-N17))</f>
        <v>2378.53115682377</v>
      </c>
      <c r="R18" s="13" t="n">
        <f aca="false">IF(14&lt;=MES_MAXBED,14,"")</f>
        <v>14</v>
      </c>
      <c r="S18" s="14" t="n">
        <f aca="false">IF(R18="","",R18*MES_HRS*WEEKS*(1+MES_DIM)^R18)</f>
        <v>749.671491592464</v>
      </c>
      <c r="T18" s="15" t="n">
        <f aca="false">IF(S18="","",MIN(S18,FARMER_HRS)*FARMER_RATE+MAX(0,S18-FARMER_HRS)*TEMP_RATE)</f>
        <v>25515.1300623692</v>
      </c>
      <c r="U18" s="16" t="n">
        <f aca="false">IF(R18="","",R18*MES_FERT)</f>
        <v>12320</v>
      </c>
      <c r="V18" s="15" t="n">
        <f aca="false">IF(T18="","",T18+U18)</f>
        <v>37835.1300623692</v>
      </c>
      <c r="W18" s="16" t="n">
        <f aca="false">IF(R18="","",R18*MES_PRICE)</f>
        <v>37800</v>
      </c>
      <c r="X18" s="15" t="n">
        <f aca="false">IF(V18="","",W18-V18)</f>
        <v>-35.1300623691714</v>
      </c>
      <c r="Y18" s="15" t="n">
        <f aca="false">IF(V18="","",IF(V17="",V18,V18-V17))</f>
        <v>2522.58109435517</v>
      </c>
    </row>
    <row r="19" customFormat="false" ht="15" hidden="false" customHeight="false" outlineLevel="0" collapsed="false">
      <c r="B19" s="13" t="n">
        <f aca="false">IF(15&lt;=TOM_MAXBED,15,"")</f>
        <v>15</v>
      </c>
      <c r="C19" s="14" t="n">
        <f aca="false">IF(B19="","",B19*TOM_HRS*WEEKS*(1+TOM_DIM)^B19)</f>
        <v>5639.28502871114</v>
      </c>
      <c r="D19" s="15" t="n">
        <f aca="false">IF(C19="","",MIN(C19,FARMER_HRS)*FARMER_RATE+MAX(0,C19-FARMER_HRS)*TEMP_RATE)</f>
        <v>110404.253970679</v>
      </c>
      <c r="E19" s="16" t="n">
        <f aca="false">IF(B19="","",B19*TOM_FERT)</f>
        <v>13200</v>
      </c>
      <c r="F19" s="15" t="n">
        <f aca="false">IF(D19="","",D19+E19)</f>
        <v>123604.253970679</v>
      </c>
      <c r="G19" s="16" t="n">
        <f aca="false">IF(B19="","",B19*TOM_PRICE)</f>
        <v>132000</v>
      </c>
      <c r="H19" s="15" t="n">
        <f aca="false">IF(F19="","",G19-F19)</f>
        <v>8395.74602932055</v>
      </c>
      <c r="I19" s="15" t="n">
        <f aca="false">IF(F19="","",IF(F18="",F19,F19-F18))</f>
        <v>15713.9778743454</v>
      </c>
      <c r="J19" s="13" t="n">
        <f aca="false">IF(15&lt;=CAR_MAXBED,15,"")</f>
        <v>15</v>
      </c>
      <c r="K19" s="14" t="n">
        <f aca="false">IF(J19="","",J19*CAR_HRS*WEEKS*(1+CAR_DIM)^J19)</f>
        <v>651.734174924149</v>
      </c>
      <c r="L19" s="15" t="n">
        <f aca="false">IF(K19="","",MIN(K19,FARMER_HRS)*FARMER_RATE+MAX(0,K19-FARMER_HRS)*TEMP_RATE)</f>
        <v>22629.658851533</v>
      </c>
      <c r="M19" s="16" t="n">
        <f aca="false">IF(J19="","",J19*CAR_FERT)</f>
        <v>6600</v>
      </c>
      <c r="N19" s="15" t="n">
        <f aca="false">IF(L19="","",L19+M19)</f>
        <v>29229.658851533</v>
      </c>
      <c r="O19" s="16" t="n">
        <f aca="false">IF(J19="","",J19*CAR_PRICE)</f>
        <v>31410</v>
      </c>
      <c r="P19" s="15" t="n">
        <f aca="false">IF(N19="","",O19-N19)</f>
        <v>2180.34114846704</v>
      </c>
      <c r="Q19" s="15" t="n">
        <f aca="false">IF(N19="","",IF(N18="",N19,N19-N18))</f>
        <v>2463.79062899888</v>
      </c>
      <c r="R19" s="13" t="n">
        <f aca="false">IF(15&lt;=MES_MAXBED,15,"")</f>
        <v>15</v>
      </c>
      <c r="S19" s="14" t="n">
        <f aca="false">IF(R19="","",R19*MES_HRS*WEEKS*(1+MES_DIM)^R19)</f>
        <v>813.259698468611</v>
      </c>
      <c r="T19" s="15" t="n">
        <f aca="false">IF(S19="","",MIN(S19,FARMER_HRS)*FARMER_RATE+MAX(0,S19-FARMER_HRS)*TEMP_RATE)</f>
        <v>26619.0919873023</v>
      </c>
      <c r="U19" s="16" t="n">
        <f aca="false">IF(R19="","",R19*MES_FERT)</f>
        <v>13200</v>
      </c>
      <c r="V19" s="15" t="n">
        <f aca="false">IF(T19="","",T19+U19)</f>
        <v>39819.0919873023</v>
      </c>
      <c r="W19" s="16" t="n">
        <f aca="false">IF(R19="","",R19*MES_PRICE)</f>
        <v>40500</v>
      </c>
      <c r="X19" s="15" t="n">
        <f aca="false">IF(V19="","",W19-V19)</f>
        <v>680.908012697735</v>
      </c>
      <c r="Y19" s="15" t="n">
        <f aca="false">IF(V19="","",IF(V18="",V19,V19-V18))</f>
        <v>1983.96192493309</v>
      </c>
    </row>
    <row r="20" customFormat="false" ht="15" hidden="false" customHeight="false" outlineLevel="0" collapsed="false">
      <c r="B20" s="13" t="n">
        <f aca="false">IF(16&lt;=TOM_MAXBED,16,"")</f>
        <v>16</v>
      </c>
      <c r="C20" s="14" t="n">
        <f aca="false">IF(B20="","",B20*TOM_HRS*WEEKS*(1+TOM_DIM)^B20)</f>
        <v>6616.7611003544</v>
      </c>
      <c r="D20" s="15" t="n">
        <f aca="false">IF(C20="","",MIN(C20,FARMER_HRS)*FARMER_RATE+MAX(0,C20-FARMER_HRS)*TEMP_RATE)</f>
        <v>127374.324658931</v>
      </c>
      <c r="E20" s="16" t="n">
        <f aca="false">IF(B20="","",B20*TOM_FERT)</f>
        <v>14080</v>
      </c>
      <c r="F20" s="15" t="n">
        <f aca="false">IF(D20="","",D20+E20)</f>
        <v>141454.324658931</v>
      </c>
      <c r="G20" s="16" t="n">
        <f aca="false">IF(B20="","",B20*TOM_PRICE)</f>
        <v>140800</v>
      </c>
      <c r="H20" s="15" t="n">
        <f aca="false">IF(F20="","",G20-F20)</f>
        <v>-654.324658930535</v>
      </c>
      <c r="I20" s="15" t="n">
        <f aca="false">IF(F20="","",IF(F19="",F20,F20-F19))</f>
        <v>17850.0706882511</v>
      </c>
      <c r="J20" s="13" t="n">
        <f aca="false">IF(16&lt;=CAR_MAXBED,16,"")</f>
        <v>16</v>
      </c>
      <c r="K20" s="14" t="n">
        <f aca="false">IF(J20="","",J20*CAR_HRS*WEEKS*(1+CAR_DIM)^J20)</f>
        <v>712.56269791707</v>
      </c>
      <c r="L20" s="15" t="n">
        <f aca="false">IF(K20="","",MIN(K20,FARMER_HRS)*FARMER_RATE+MAX(0,K20-FARMER_HRS)*TEMP_RATE)</f>
        <v>24741.7603443427</v>
      </c>
      <c r="M20" s="16" t="n">
        <f aca="false">IF(J20="","",J20*CAR_FERT)</f>
        <v>7040</v>
      </c>
      <c r="N20" s="15" t="n">
        <f aca="false">IF(L20="","",L20+M20)</f>
        <v>31781.7603443427</v>
      </c>
      <c r="O20" s="16" t="n">
        <f aca="false">IF(J20="","",J20*CAR_PRICE)</f>
        <v>33504</v>
      </c>
      <c r="P20" s="15" t="n">
        <f aca="false">IF(N20="","",O20-N20)</f>
        <v>1722.2396556573</v>
      </c>
      <c r="Q20" s="15" t="n">
        <f aca="false">IF(N20="","",IF(N19="",N20,N20-N19))</f>
        <v>2552.10149280974</v>
      </c>
      <c r="R20" s="13" t="n">
        <f aca="false">IF(16&lt;=MES_MAXBED,16,"")</f>
        <v>16</v>
      </c>
      <c r="S20" s="14" t="n">
        <f aca="false">IF(R20="","",R20*MES_HRS*WEEKS*(1+MES_DIM)^R20)</f>
        <v>878.3204743461</v>
      </c>
      <c r="T20" s="15" t="n">
        <f aca="false">IF(S20="","",MIN(S20,FARMER_HRS)*FARMER_RATE+MAX(0,S20-FARMER_HRS)*TEMP_RATE)</f>
        <v>27748.6193462865</v>
      </c>
      <c r="U20" s="16" t="n">
        <f aca="false">IF(R20="","",R20*MES_FERT)</f>
        <v>14080</v>
      </c>
      <c r="V20" s="15" t="n">
        <f aca="false">IF(T20="","",T20+U20)</f>
        <v>41828.6193462865</v>
      </c>
      <c r="W20" s="16" t="n">
        <f aca="false">IF(R20="","",R20*MES_PRICE)</f>
        <v>43200</v>
      </c>
      <c r="X20" s="15" t="n">
        <f aca="false">IF(V20="","",W20-V20)</f>
        <v>1371.38065371355</v>
      </c>
      <c r="Y20" s="15" t="n">
        <f aca="false">IF(V20="","",IF(V19="",V20,V20-V19))</f>
        <v>2009.52735898419</v>
      </c>
    </row>
    <row r="21" customFormat="false" ht="15" hidden="false" customHeight="false" outlineLevel="0" collapsed="false">
      <c r="B21" s="13" t="n">
        <f aca="false">IF(17&lt;=TOM_MAXBED,17,"")</f>
        <v>17</v>
      </c>
      <c r="C21" s="14" t="n">
        <f aca="false">IF(B21="","",B21*TOM_HRS*WEEKS*(1+TOM_DIM)^B21)</f>
        <v>7733.33953603921</v>
      </c>
      <c r="D21" s="15" t="n">
        <f aca="false">IF(C21="","",MIN(C21,FARMER_HRS)*FARMER_RATE+MAX(0,C21-FARMER_HRS)*TEMP_RATE)</f>
        <v>146759.366945125</v>
      </c>
      <c r="E21" s="16" t="n">
        <f aca="false">IF(B21="","",B21*TOM_FERT)</f>
        <v>14960</v>
      </c>
      <c r="F21" s="15" t="n">
        <f aca="false">IF(D21="","",D21+E21)</f>
        <v>161719.366945125</v>
      </c>
      <c r="G21" s="16" t="n">
        <f aca="false">IF(B21="","",B21*TOM_PRICE)</f>
        <v>149600</v>
      </c>
      <c r="H21" s="15" t="n">
        <f aca="false">IF(F21="","",G21-F21)</f>
        <v>-12119.3669451251</v>
      </c>
      <c r="I21" s="15" t="n">
        <f aca="false">IF(F21="","",IF(F20="",F21,F21-F20))</f>
        <v>20265.0422861946</v>
      </c>
      <c r="J21" s="13" t="n">
        <f aca="false">IF(17&lt;=CAR_MAXBED,17,"")</f>
        <v>17</v>
      </c>
      <c r="K21" s="14" t="n">
        <f aca="false">IF(J21="","",J21*CAR_HRS*WEEKS*(1+CAR_DIM)^J21)</f>
        <v>776.025313200309</v>
      </c>
      <c r="L21" s="15" t="n">
        <f aca="false">IF(K21="","",MIN(K21,FARMER_HRS)*FARMER_RATE+MAX(0,K21-FARMER_HRS)*TEMP_RATE)</f>
        <v>25972.6616875054</v>
      </c>
      <c r="M21" s="16" t="n">
        <f aca="false">IF(J21="","",J21*CAR_FERT)</f>
        <v>7480</v>
      </c>
      <c r="N21" s="15" t="n">
        <f aca="false">IF(L21="","",L21+M21)</f>
        <v>33452.6616875054</v>
      </c>
      <c r="O21" s="16" t="n">
        <f aca="false">IF(J21="","",J21*CAR_PRICE)</f>
        <v>35598</v>
      </c>
      <c r="P21" s="15" t="n">
        <f aca="false">IF(N21="","",O21-N21)</f>
        <v>2145.33831249464</v>
      </c>
      <c r="Q21" s="15" t="n">
        <f aca="false">IF(N21="","",IF(N20="",N21,N21-N20))</f>
        <v>1670.90134316266</v>
      </c>
      <c r="R21" s="13" t="n">
        <f aca="false">IF(17&lt;=MES_MAXBED,17,"")</f>
        <v>17</v>
      </c>
      <c r="S21" s="14" t="n">
        <f aca="false">IF(R21="","",R21*MES_HRS*WEEKS*(1+MES_DIM)^R21)</f>
        <v>944.88069779264</v>
      </c>
      <c r="T21" s="15" t="n">
        <f aca="false">IF(S21="","",MIN(S21,FARMER_HRS)*FARMER_RATE+MAX(0,S21-FARMER_HRS)*TEMP_RATE)</f>
        <v>28904.1787811222</v>
      </c>
      <c r="U21" s="16" t="n">
        <f aca="false">IF(R21="","",R21*MES_FERT)</f>
        <v>14960</v>
      </c>
      <c r="V21" s="15" t="n">
        <f aca="false">IF(T21="","",T21+U21)</f>
        <v>43864.1787811222</v>
      </c>
      <c r="W21" s="16" t="n">
        <f aca="false">IF(R21="","",R21*MES_PRICE)</f>
        <v>45900</v>
      </c>
      <c r="X21" s="15" t="n">
        <f aca="false">IF(V21="","",W21-V21)</f>
        <v>2035.82121887778</v>
      </c>
      <c r="Y21" s="15" t="n">
        <f aca="false">IF(V21="","",IF(V20="",V21,V21-V20))</f>
        <v>2035.55943483576</v>
      </c>
    </row>
    <row r="22" customFormat="false" ht="15" hidden="false" customHeight="false" outlineLevel="0" collapsed="false">
      <c r="B22" s="13" t="n">
        <f aca="false">IF(18&lt;=TOM_MAXBED,18,"")</f>
        <v>18</v>
      </c>
      <c r="C22" s="14" t="n">
        <f aca="false">IF(B22="","",B22*TOM_HRS*WEEKS*(1+TOM_DIM)^B22)</f>
        <v>9007.06604785743</v>
      </c>
      <c r="D22" s="15" t="n">
        <f aca="false">IF(C22="","",MIN(C22,FARMER_HRS)*FARMER_RATE+MAX(0,C22-FARMER_HRS)*TEMP_RATE)</f>
        <v>168872.674441969</v>
      </c>
      <c r="E22" s="16" t="n">
        <f aca="false">IF(B22="","",B22*TOM_FERT)</f>
        <v>15840</v>
      </c>
      <c r="F22" s="15" t="n">
        <f aca="false">IF(D22="","",D22+E22)</f>
        <v>184712.674441969</v>
      </c>
      <c r="G22" s="16" t="n">
        <f aca="false">IF(B22="","",B22*TOM_PRICE)</f>
        <v>158400</v>
      </c>
      <c r="H22" s="15" t="n">
        <f aca="false">IF(F22="","",G22-F22)</f>
        <v>-26312.6744419692</v>
      </c>
      <c r="I22" s="15" t="n">
        <f aca="false">IF(F22="","",IF(F21="",F22,F22-F21))</f>
        <v>22993.3074968441</v>
      </c>
      <c r="J22" s="13" t="n">
        <f aca="false">IF(18&lt;=CAR_MAXBED,18,"")</f>
        <v>18</v>
      </c>
      <c r="K22" s="14" t="n">
        <f aca="false">IF(J22="","",J22*CAR_HRS*WEEKS*(1+CAR_DIM)^J22)</f>
        <v>842.215707561512</v>
      </c>
      <c r="L22" s="15" t="n">
        <f aca="false">IF(K22="","",MIN(K22,FARMER_HRS)*FARMER_RATE+MAX(0,K22-FARMER_HRS)*TEMP_RATE)</f>
        <v>27121.8004784985</v>
      </c>
      <c r="M22" s="16" t="n">
        <f aca="false">IF(J22="","",J22*CAR_FERT)</f>
        <v>7920</v>
      </c>
      <c r="N22" s="15" t="n">
        <f aca="false">IF(L22="","",L22+M22)</f>
        <v>35041.8004784985</v>
      </c>
      <c r="O22" s="16" t="n">
        <f aca="false">IF(J22="","",J22*CAR_PRICE)</f>
        <v>37692</v>
      </c>
      <c r="P22" s="15" t="n">
        <f aca="false">IF(N22="","",O22-N22)</f>
        <v>2650.19952150153</v>
      </c>
      <c r="Q22" s="15" t="n">
        <f aca="false">IF(N22="","",IF(N21="",N22,N22-N21))</f>
        <v>1589.13879099311</v>
      </c>
      <c r="R22" s="13" t="n">
        <f aca="false">IF(18&lt;=MES_MAXBED,18,"")</f>
        <v>18</v>
      </c>
      <c r="S22" s="14" t="n">
        <f aca="false">IF(R22="","",R22*MES_HRS*WEEKS*(1+MES_DIM)^R22)</f>
        <v>1012.96768925123</v>
      </c>
      <c r="T22" s="15" t="n">
        <f aca="false">IF(S22="","",MIN(S22,FARMER_HRS)*FARMER_RATE+MAX(0,S22-FARMER_HRS)*TEMP_RATE)</f>
        <v>30086.244605056</v>
      </c>
      <c r="U22" s="16" t="n">
        <f aca="false">IF(R22="","",R22*MES_FERT)</f>
        <v>15840</v>
      </c>
      <c r="V22" s="15" t="n">
        <f aca="false">IF(T22="","",T22+U22)</f>
        <v>45926.244605056</v>
      </c>
      <c r="W22" s="16" t="n">
        <f aca="false">IF(R22="","",R22*MES_PRICE)</f>
        <v>48600</v>
      </c>
      <c r="X22" s="15" t="n">
        <f aca="false">IF(V22="","",W22-V22)</f>
        <v>2673.75539494398</v>
      </c>
      <c r="Y22" s="15" t="n">
        <f aca="false">IF(V22="","",IF(V21="",V22,V22-V21))</f>
        <v>2062.06582393381</v>
      </c>
    </row>
    <row r="23" customFormat="false" ht="15" hidden="false" customHeight="false" outlineLevel="0" collapsed="false">
      <c r="B23" s="13" t="n">
        <f aca="false">IF(19&lt;=TOM_MAXBED,19,"")</f>
        <v>19</v>
      </c>
      <c r="C23" s="14" t="n">
        <f aca="false">IF(B23="","",B23*TOM_HRS*WEEKS*(1+TOM_DIM)^B23)</f>
        <v>10458.2044666789</v>
      </c>
      <c r="D23" s="15" t="n">
        <f aca="false">IF(C23="","",MIN(C23,FARMER_HRS)*FARMER_RATE+MAX(0,C23-FARMER_HRS)*TEMP_RATE)</f>
        <v>194066.049768731</v>
      </c>
      <c r="E23" s="16" t="n">
        <f aca="false">IF(B23="","",B23*TOM_FERT)</f>
        <v>16720</v>
      </c>
      <c r="F23" s="15" t="n">
        <f aca="false">IF(D23="","",D23+E23)</f>
        <v>210786.049768731</v>
      </c>
      <c r="G23" s="16" t="n">
        <f aca="false">IF(B23="","",B23*TOM_PRICE)</f>
        <v>167200</v>
      </c>
      <c r="H23" s="15" t="n">
        <f aca="false">IF(F23="","",G23-F23)</f>
        <v>-43586.049768731</v>
      </c>
      <c r="I23" s="15" t="n">
        <f aca="false">IF(F23="","",IF(F22="",F23,F23-F22))</f>
        <v>26073.3753267617</v>
      </c>
      <c r="J23" s="13" t="n">
        <f aca="false">IF(19&lt;=CAR_MAXBED,19,"")</f>
        <v>19</v>
      </c>
      <c r="K23" s="14" t="n">
        <f aca="false">IF(J23="","",J23*CAR_HRS*WEEKS*(1+CAR_DIM)^J23)</f>
        <v>911.230605820024</v>
      </c>
      <c r="L23" s="15" t="n">
        <f aca="false">IF(K23="","",MIN(K23,FARMER_HRS)*FARMER_RATE+MAX(0,K23-FARMER_HRS)*TEMP_RATE)</f>
        <v>28319.9757954865</v>
      </c>
      <c r="M23" s="16" t="n">
        <f aca="false">IF(J23="","",J23*CAR_FERT)</f>
        <v>8360</v>
      </c>
      <c r="N23" s="15" t="n">
        <f aca="false">IF(L23="","",L23+M23)</f>
        <v>36679.9757954865</v>
      </c>
      <c r="O23" s="16" t="n">
        <f aca="false">IF(J23="","",J23*CAR_PRICE)</f>
        <v>39786</v>
      </c>
      <c r="P23" s="15" t="n">
        <f aca="false">IF(N23="","",O23-N23)</f>
        <v>3106.02420451347</v>
      </c>
      <c r="Q23" s="15" t="n">
        <f aca="false">IF(N23="","",IF(N22="",N23,N23-N22))</f>
        <v>1638.17531698807</v>
      </c>
      <c r="R23" s="13" t="n">
        <f aca="false">IF(19&lt;=MES_MAXBED,19,"")</f>
        <v>19</v>
      </c>
      <c r="S23" s="14" t="n">
        <f aca="false">IF(R23="","",R23*MES_HRS*WEEKS*(1+MES_DIM)^R23)</f>
        <v>1082.60921788725</v>
      </c>
      <c r="T23" s="15" t="n">
        <f aca="false">IF(S23="","",MIN(S23,FARMER_HRS)*FARMER_RATE+MAX(0,S23-FARMER_HRS)*TEMP_RATE)</f>
        <v>31295.2989216536</v>
      </c>
      <c r="U23" s="16" t="n">
        <f aca="false">IF(R23="","",R23*MES_FERT)</f>
        <v>16720</v>
      </c>
      <c r="V23" s="15" t="n">
        <f aca="false">IF(T23="","",T23+U23)</f>
        <v>48015.2989216536</v>
      </c>
      <c r="W23" s="16" t="n">
        <f aca="false">IF(R23="","",R23*MES_PRICE)</f>
        <v>51300</v>
      </c>
      <c r="X23" s="15" t="n">
        <f aca="false">IF(V23="","",W23-V23)</f>
        <v>3284.70107834637</v>
      </c>
      <c r="Y23" s="15" t="n">
        <f aca="false">IF(V23="","",IF(V22="",V23,V23-V22))</f>
        <v>2089.05431659761</v>
      </c>
    </row>
    <row r="24" customFormat="false" ht="15" hidden="false" customHeight="false" outlineLevel="0" collapsed="false">
      <c r="B24" s="13" t="n">
        <f aca="false">IF(20&lt;=TOM_MAXBED,20,"")</f>
        <v>20</v>
      </c>
      <c r="C24" s="14" t="n">
        <f aca="false">IF(B24="","",B24*TOM_HRS*WEEKS*(1+TOM_DIM)^B24)</f>
        <v>12109.4999087861</v>
      </c>
      <c r="D24" s="15" t="n">
        <f aca="false">IF(C24="","",MIN(C24,FARMER_HRS)*FARMER_RATE+MAX(0,C24-FARMER_HRS)*TEMP_RATE)</f>
        <v>222734.373416425</v>
      </c>
      <c r="E24" s="16" t="n">
        <f aca="false">IF(B24="","",B24*TOM_FERT)</f>
        <v>17600</v>
      </c>
      <c r="F24" s="15" t="n">
        <f aca="false">IF(D24="","",D24+E24)</f>
        <v>240334.373416425</v>
      </c>
      <c r="G24" s="16" t="n">
        <f aca="false">IF(B24="","",B24*TOM_PRICE)</f>
        <v>176000</v>
      </c>
      <c r="H24" s="15" t="n">
        <f aca="false">IF(F24="","",G24-F24)</f>
        <v>-64334.3734164253</v>
      </c>
      <c r="I24" s="15" t="n">
        <f aca="false">IF(F24="","",IF(F23="",F24,F24-F23))</f>
        <v>29548.3236476944</v>
      </c>
      <c r="J24" s="13" t="n">
        <f aca="false">IF(20&lt;=CAR_MAXBED,20,"")</f>
        <v>20</v>
      </c>
      <c r="K24" s="14" t="n">
        <f aca="false">IF(J24="","",J24*CAR_HRS*WEEKS*(1+CAR_DIM)^J24)</f>
        <v>983.169864174237</v>
      </c>
      <c r="L24" s="15" t="n">
        <f aca="false">IF(K24="","",MIN(K24,FARMER_HRS)*FARMER_RATE+MAX(0,K24-FARMER_HRS)*TEMP_RATE)</f>
        <v>29568.9212530249</v>
      </c>
      <c r="M24" s="16" t="n">
        <f aca="false">IF(J24="","",J24*CAR_FERT)</f>
        <v>8800</v>
      </c>
      <c r="N24" s="15" t="n">
        <f aca="false">IF(L24="","",L24+M24)</f>
        <v>38368.9212530249</v>
      </c>
      <c r="O24" s="16" t="n">
        <f aca="false">IF(J24="","",J24*CAR_PRICE)</f>
        <v>41880</v>
      </c>
      <c r="P24" s="15" t="n">
        <f aca="false">IF(N24="","",O24-N24)</f>
        <v>3511.07874697507</v>
      </c>
      <c r="Q24" s="15" t="n">
        <f aca="false">IF(N24="","",IF(N23="",N24,N24-N23))</f>
        <v>1688.9454575384</v>
      </c>
      <c r="R24" s="13" t="n">
        <f aca="false">IF(20&lt;=MES_MAXBED,20,"")</f>
        <v>20</v>
      </c>
      <c r="S24" s="14" t="n">
        <f aca="false">IF(R24="","",R24*MES_HRS*WEEKS*(1+MES_DIM)^R24)</f>
        <v>1153.83350853773</v>
      </c>
      <c r="T24" s="15" t="n">
        <f aca="false">IF(S24="","",MIN(S24,FARMER_HRS)*FARMER_RATE+MAX(0,S24-FARMER_HRS)*TEMP_RATE)</f>
        <v>32531.8317454466</v>
      </c>
      <c r="U24" s="16" t="n">
        <f aca="false">IF(R24="","",R24*MES_FERT)</f>
        <v>17600</v>
      </c>
      <c r="V24" s="15" t="n">
        <f aca="false">IF(T24="","",T24+U24)</f>
        <v>50131.8317454466</v>
      </c>
      <c r="W24" s="16" t="n">
        <f aca="false">IF(R24="","",R24*MES_PRICE)</f>
        <v>54000</v>
      </c>
      <c r="X24" s="15" t="n">
        <f aca="false">IF(V24="","",W24-V24)</f>
        <v>3868.16825455337</v>
      </c>
      <c r="Y24" s="15" t="n">
        <f aca="false">IF(V24="","",IF(V23="",V24,V24-V23))</f>
        <v>2116.532823793</v>
      </c>
    </row>
    <row r="25" customFormat="false" ht="15" hidden="false" customHeight="false" outlineLevel="0" collapsed="false">
      <c r="B25" s="13" t="str">
        <f aca="false">IF(21&lt;=TOM_MAXBED,21,"")</f>
        <v/>
      </c>
      <c r="C25" s="14" t="str">
        <f aca="false">IF(B25="","",B25*TOM_HRS*WEEKS*(1+TOM_DIM)^B25)</f>
        <v/>
      </c>
      <c r="D25" s="15" t="str">
        <f aca="false">IF(C25="","",MIN(C25,FARMER_HRS)*FARMER_RATE+MAX(0,C25-FARMER_HRS)*TEMP_RATE)</f>
        <v/>
      </c>
      <c r="E25" s="16" t="str">
        <f aca="false">IF(B25="","",B25*TOM_FERT)</f>
        <v/>
      </c>
      <c r="F25" s="15" t="str">
        <f aca="false">IF(D25="","",D25+E25)</f>
        <v/>
      </c>
      <c r="G25" s="16" t="str">
        <f aca="false">IF(B25="","",B25*TOM_PRICE)</f>
        <v/>
      </c>
      <c r="H25" s="15" t="str">
        <f aca="false">IF(F25="","",G25-F25)</f>
        <v/>
      </c>
      <c r="I25" s="15" t="str">
        <f aca="false">IF(F25="","",IF(F24="",F25,F25-F24))</f>
        <v/>
      </c>
      <c r="J25" s="13" t="str">
        <f aca="false">IF(21&lt;=CAR_MAXBED,21,"")</f>
        <v/>
      </c>
      <c r="K25" s="14" t="str">
        <f aca="false">IF(J25="","",J25*CAR_HRS*WEEKS*(1+CAR_DIM)^J25)</f>
        <v/>
      </c>
      <c r="L25" s="15" t="str">
        <f aca="false">IF(K25="","",MIN(K25,FARMER_HRS)*FARMER_RATE+MAX(0,K25-FARMER_HRS)*TEMP_RATE)</f>
        <v/>
      </c>
      <c r="M25" s="16" t="str">
        <f aca="false">IF(J25="","",J25*CAR_FERT)</f>
        <v/>
      </c>
      <c r="N25" s="15" t="str">
        <f aca="false">IF(L25="","",L25+M25)</f>
        <v/>
      </c>
      <c r="O25" s="16" t="str">
        <f aca="false">IF(J25="","",J25*CAR_PRICE)</f>
        <v/>
      </c>
      <c r="P25" s="15" t="str">
        <f aca="false">IF(N25="","",O25-N25)</f>
        <v/>
      </c>
      <c r="Q25" s="15" t="str">
        <f aca="false">IF(N25="","",IF(N24="",N25,N25-N24))</f>
        <v/>
      </c>
      <c r="R25" s="13" t="n">
        <f aca="false">IF(21&lt;=MES_MAXBED,21,"")</f>
        <v>21</v>
      </c>
      <c r="S25" s="14" t="n">
        <f aca="false">IF(R25="","",R25*MES_HRS*WEEKS*(1+MES_DIM)^R25)</f>
        <v>1226.66924876417</v>
      </c>
      <c r="T25" s="15" t="n">
        <f aca="false">IF(S25="","",MIN(S25,FARMER_HRS)*FARMER_RATE+MAX(0,S25-FARMER_HRS)*TEMP_RATE)</f>
        <v>33796.341124378</v>
      </c>
      <c r="U25" s="16" t="n">
        <f aca="false">IF(R25="","",R25*MES_FERT)</f>
        <v>18480</v>
      </c>
      <c r="V25" s="15" t="n">
        <f aca="false">IF(T25="","",T25+U25)</f>
        <v>52276.341124378</v>
      </c>
      <c r="W25" s="16" t="n">
        <f aca="false">IF(R25="","",R25*MES_PRICE)</f>
        <v>56700</v>
      </c>
      <c r="X25" s="15" t="n">
        <f aca="false">IF(V25="","",W25-V25)</f>
        <v>4423.65887562205</v>
      </c>
      <c r="Y25" s="15" t="n">
        <f aca="false">IF(V25="","",IF(V24="",V25,V25-V24))</f>
        <v>2144.50937893132</v>
      </c>
    </row>
    <row r="26" customFormat="false" ht="15" hidden="false" customHeight="false" outlineLevel="0" collapsed="false">
      <c r="B26" s="13" t="str">
        <f aca="false">IF(22&lt;=TOM_MAXBED,22,"")</f>
        <v/>
      </c>
      <c r="C26" s="14" t="str">
        <f aca="false">IF(B26="","",B26*TOM_HRS*WEEKS*(1+TOM_DIM)^B26)</f>
        <v/>
      </c>
      <c r="D26" s="15" t="str">
        <f aca="false">IF(C26="","",MIN(C26,FARMER_HRS)*FARMER_RATE+MAX(0,C26-FARMER_HRS)*TEMP_RATE)</f>
        <v/>
      </c>
      <c r="E26" s="16" t="str">
        <f aca="false">IF(B26="","",B26*TOM_FERT)</f>
        <v/>
      </c>
      <c r="F26" s="15" t="str">
        <f aca="false">IF(D26="","",D26+E26)</f>
        <v/>
      </c>
      <c r="G26" s="16" t="str">
        <f aca="false">IF(B26="","",B26*TOM_PRICE)</f>
        <v/>
      </c>
      <c r="H26" s="15" t="str">
        <f aca="false">IF(F26="","",G26-F26)</f>
        <v/>
      </c>
      <c r="I26" s="15" t="str">
        <f aca="false">IF(F26="","",IF(F25="",F26,F26-F25))</f>
        <v/>
      </c>
      <c r="J26" s="13" t="str">
        <f aca="false">IF(22&lt;=CAR_MAXBED,22,"")</f>
        <v/>
      </c>
      <c r="K26" s="14" t="str">
        <f aca="false">IF(J26="","",J26*CAR_HRS*WEEKS*(1+CAR_DIM)^J26)</f>
        <v/>
      </c>
      <c r="L26" s="15" t="str">
        <f aca="false">IF(K26="","",MIN(K26,FARMER_HRS)*FARMER_RATE+MAX(0,K26-FARMER_HRS)*TEMP_RATE)</f>
        <v/>
      </c>
      <c r="M26" s="16" t="str">
        <f aca="false">IF(J26="","",J26*CAR_FERT)</f>
        <v/>
      </c>
      <c r="N26" s="15" t="str">
        <f aca="false">IF(L26="","",L26+M26)</f>
        <v/>
      </c>
      <c r="O26" s="16" t="str">
        <f aca="false">IF(J26="","",J26*CAR_PRICE)</f>
        <v/>
      </c>
      <c r="P26" s="15" t="str">
        <f aca="false">IF(N26="","",O26-N26)</f>
        <v/>
      </c>
      <c r="Q26" s="15" t="str">
        <f aca="false">IF(N26="","",IF(N25="",N26,N26-N25))</f>
        <v/>
      </c>
      <c r="R26" s="13" t="n">
        <f aca="false">IF(22&lt;=MES_MAXBED,22,"")</f>
        <v>22</v>
      </c>
      <c r="S26" s="14" t="n">
        <f aca="false">IF(R26="","",R26*MES_HRS*WEEKS*(1+MES_DIM)^R26)</f>
        <v>1301.14559601057</v>
      </c>
      <c r="T26" s="15" t="n">
        <f aca="false">IF(S26="","",MIN(S26,FARMER_HRS)*FARMER_RATE+MAX(0,S26-FARMER_HRS)*TEMP_RATE)</f>
        <v>35089.3332640723</v>
      </c>
      <c r="U26" s="16" t="n">
        <f aca="false">IF(R26="","",R26*MES_FERT)</f>
        <v>19360</v>
      </c>
      <c r="V26" s="15" t="n">
        <f aca="false">IF(T26="","",T26+U26)</f>
        <v>54449.3332640723</v>
      </c>
      <c r="W26" s="16" t="n">
        <f aca="false">IF(R26="","",R26*MES_PRICE)</f>
        <v>59400</v>
      </c>
      <c r="X26" s="15" t="n">
        <f aca="false">IF(V26="","",W26-V26)</f>
        <v>4950.66673592768</v>
      </c>
      <c r="Y26" s="15" t="n">
        <f aca="false">IF(V26="","",IF(V25="",V26,V26-V25))</f>
        <v>2172.99213969438</v>
      </c>
    </row>
    <row r="27" customFormat="false" ht="15" hidden="false" customHeight="false" outlineLevel="0" collapsed="false">
      <c r="B27" s="13" t="str">
        <f aca="false">IF(23&lt;=TOM_MAXBED,23,"")</f>
        <v/>
      </c>
      <c r="C27" s="14" t="str">
        <f aca="false">IF(B27="","",B27*TOM_HRS*WEEKS*(1+TOM_DIM)^B27)</f>
        <v/>
      </c>
      <c r="D27" s="15" t="str">
        <f aca="false">IF(C27="","",MIN(C27,FARMER_HRS)*FARMER_RATE+MAX(0,C27-FARMER_HRS)*TEMP_RATE)</f>
        <v/>
      </c>
      <c r="E27" s="16" t="str">
        <f aca="false">IF(B27="","",B27*TOM_FERT)</f>
        <v/>
      </c>
      <c r="F27" s="15" t="str">
        <f aca="false">IF(D27="","",D27+E27)</f>
        <v/>
      </c>
      <c r="G27" s="16" t="str">
        <f aca="false">IF(B27="","",B27*TOM_PRICE)</f>
        <v/>
      </c>
      <c r="H27" s="15" t="str">
        <f aca="false">IF(F27="","",G27-F27)</f>
        <v/>
      </c>
      <c r="I27" s="15" t="str">
        <f aca="false">IF(F27="","",IF(F26="",F27,F27-F26))</f>
        <v/>
      </c>
      <c r="J27" s="13" t="str">
        <f aca="false">IF(23&lt;=CAR_MAXBED,23,"")</f>
        <v/>
      </c>
      <c r="K27" s="14" t="str">
        <f aca="false">IF(J27="","",J27*CAR_HRS*WEEKS*(1+CAR_DIM)^J27)</f>
        <v/>
      </c>
      <c r="L27" s="15" t="str">
        <f aca="false">IF(K27="","",MIN(K27,FARMER_HRS)*FARMER_RATE+MAX(0,K27-FARMER_HRS)*TEMP_RATE)</f>
        <v/>
      </c>
      <c r="M27" s="16" t="str">
        <f aca="false">IF(J27="","",J27*CAR_FERT)</f>
        <v/>
      </c>
      <c r="N27" s="15" t="str">
        <f aca="false">IF(L27="","",L27+M27)</f>
        <v/>
      </c>
      <c r="O27" s="16" t="str">
        <f aca="false">IF(J27="","",J27*CAR_PRICE)</f>
        <v/>
      </c>
      <c r="P27" s="15" t="str">
        <f aca="false">IF(N27="","",O27-N27)</f>
        <v/>
      </c>
      <c r="Q27" s="15" t="str">
        <f aca="false">IF(N27="","",IF(N26="",N27,N27-N26))</f>
        <v/>
      </c>
      <c r="R27" s="13" t="n">
        <f aca="false">IF(23&lt;=MES_MAXBED,23,"")</f>
        <v>23</v>
      </c>
      <c r="S27" s="14" t="n">
        <f aca="false">IF(R27="","",R27*MES_HRS*WEEKS*(1+MES_DIM)^R27)</f>
        <v>1377.292184868</v>
      </c>
      <c r="T27" s="15" t="n">
        <f aca="false">IF(S27="","",MIN(S27,FARMER_HRS)*FARMER_RATE+MAX(0,S27-FARMER_HRS)*TEMP_RATE)</f>
        <v>36411.3226539584</v>
      </c>
      <c r="U27" s="16" t="n">
        <f aca="false">IF(R27="","",R27*MES_FERT)</f>
        <v>20240</v>
      </c>
      <c r="V27" s="15" t="n">
        <f aca="false">IF(T27="","",T27+U27)</f>
        <v>56651.3226539584</v>
      </c>
      <c r="W27" s="16" t="n">
        <f aca="false">IF(R27="","",R27*MES_PRICE)</f>
        <v>62100</v>
      </c>
      <c r="X27" s="15" t="n">
        <f aca="false">IF(V27="","",W27-V27)</f>
        <v>5448.67734604163</v>
      </c>
      <c r="Y27" s="15" t="n">
        <f aca="false">IF(V27="","",IF(V26="",V27,V27-V26))</f>
        <v>2201.98938988605</v>
      </c>
    </row>
    <row r="28" customFormat="false" ht="15" hidden="false" customHeight="false" outlineLevel="0" collapsed="false">
      <c r="B28" s="13" t="str">
        <f aca="false">IF(24&lt;=TOM_MAXBED,24,"")</f>
        <v/>
      </c>
      <c r="C28" s="14" t="str">
        <f aca="false">IF(B28="","",B28*TOM_HRS*WEEKS*(1+TOM_DIM)^B28)</f>
        <v/>
      </c>
      <c r="D28" s="15" t="str">
        <f aca="false">IF(C28="","",MIN(C28,FARMER_HRS)*FARMER_RATE+MAX(0,C28-FARMER_HRS)*TEMP_RATE)</f>
        <v/>
      </c>
      <c r="E28" s="16" t="str">
        <f aca="false">IF(B28="","",B28*TOM_FERT)</f>
        <v/>
      </c>
      <c r="F28" s="15" t="str">
        <f aca="false">IF(D28="","",D28+E28)</f>
        <v/>
      </c>
      <c r="G28" s="16" t="str">
        <f aca="false">IF(B28="","",B28*TOM_PRICE)</f>
        <v/>
      </c>
      <c r="H28" s="15" t="str">
        <f aca="false">IF(F28="","",G28-F28)</f>
        <v/>
      </c>
      <c r="I28" s="15" t="str">
        <f aca="false">IF(F28="","",IF(F27="",F28,F28-F27))</f>
        <v/>
      </c>
      <c r="J28" s="13" t="str">
        <f aca="false">IF(24&lt;=CAR_MAXBED,24,"")</f>
        <v/>
      </c>
      <c r="K28" s="14" t="str">
        <f aca="false">IF(J28="","",J28*CAR_HRS*WEEKS*(1+CAR_DIM)^J28)</f>
        <v/>
      </c>
      <c r="L28" s="15" t="str">
        <f aca="false">IF(K28="","",MIN(K28,FARMER_HRS)*FARMER_RATE+MAX(0,K28-FARMER_HRS)*TEMP_RATE)</f>
        <v/>
      </c>
      <c r="M28" s="16" t="str">
        <f aca="false">IF(J28="","",J28*CAR_FERT)</f>
        <v/>
      </c>
      <c r="N28" s="15" t="str">
        <f aca="false">IF(L28="","",L28+M28)</f>
        <v/>
      </c>
      <c r="O28" s="16" t="str">
        <f aca="false">IF(J28="","",J28*CAR_PRICE)</f>
        <v/>
      </c>
      <c r="P28" s="15" t="str">
        <f aca="false">IF(N28="","",O28-N28)</f>
        <v/>
      </c>
      <c r="Q28" s="15" t="str">
        <f aca="false">IF(N28="","",IF(N27="",N28,N28-N27))</f>
        <v/>
      </c>
      <c r="R28" s="13" t="n">
        <f aca="false">IF(24&lt;=MES_MAXBED,24,"")</f>
        <v>24</v>
      </c>
      <c r="S28" s="14" t="n">
        <f aca="false">IF(R28="","",R28*MES_HRS*WEEKS*(1+MES_DIM)^R28)</f>
        <v>1455.1391344475</v>
      </c>
      <c r="T28" s="15" t="n">
        <f aca="false">IF(S28="","",MIN(S28,FARMER_HRS)*FARMER_RATE+MAX(0,S28-FARMER_HRS)*TEMP_RATE)</f>
        <v>37762.8321952691</v>
      </c>
      <c r="U28" s="16" t="n">
        <f aca="false">IF(R28="","",R28*MES_FERT)</f>
        <v>21120</v>
      </c>
      <c r="V28" s="15" t="n">
        <f aca="false">IF(T28="","",T28+U28)</f>
        <v>58882.8321952691</v>
      </c>
      <c r="W28" s="16" t="n">
        <f aca="false">IF(R28="","",R28*MES_PRICE)</f>
        <v>64800</v>
      </c>
      <c r="X28" s="15" t="n">
        <f aca="false">IF(V28="","",W28-V28)</f>
        <v>5917.16780473094</v>
      </c>
      <c r="Y28" s="15" t="n">
        <f aca="false">IF(V28="","",IF(V27="",V28,V28-V27))</f>
        <v>2231.50954131069</v>
      </c>
    </row>
    <row r="29" customFormat="false" ht="15" hidden="false" customHeight="false" outlineLevel="0" collapsed="false">
      <c r="B29" s="13" t="str">
        <f aca="false">IF(25&lt;=TOM_MAXBED,25,"")</f>
        <v/>
      </c>
      <c r="C29" s="14" t="str">
        <f aca="false">IF(B29="","",B29*TOM_HRS*WEEKS*(1+TOM_DIM)^B29)</f>
        <v/>
      </c>
      <c r="D29" s="15" t="str">
        <f aca="false">IF(C29="","",MIN(C29,FARMER_HRS)*FARMER_RATE+MAX(0,C29-FARMER_HRS)*TEMP_RATE)</f>
        <v/>
      </c>
      <c r="E29" s="16" t="str">
        <f aca="false">IF(B29="","",B29*TOM_FERT)</f>
        <v/>
      </c>
      <c r="F29" s="15" t="str">
        <f aca="false">IF(D29="","",D29+E29)</f>
        <v/>
      </c>
      <c r="G29" s="16" t="str">
        <f aca="false">IF(B29="","",B29*TOM_PRICE)</f>
        <v/>
      </c>
      <c r="H29" s="15" t="str">
        <f aca="false">IF(F29="","",G29-F29)</f>
        <v/>
      </c>
      <c r="I29" s="15" t="str">
        <f aca="false">IF(F29="","",IF(F28="",F29,F29-F28))</f>
        <v/>
      </c>
      <c r="J29" s="13" t="str">
        <f aca="false">IF(25&lt;=CAR_MAXBED,25,"")</f>
        <v/>
      </c>
      <c r="K29" s="14" t="str">
        <f aca="false">IF(J29="","",J29*CAR_HRS*WEEKS*(1+CAR_DIM)^J29)</f>
        <v/>
      </c>
      <c r="L29" s="15" t="str">
        <f aca="false">IF(K29="","",MIN(K29,FARMER_HRS)*FARMER_RATE+MAX(0,K29-FARMER_HRS)*TEMP_RATE)</f>
        <v/>
      </c>
      <c r="M29" s="16" t="str">
        <f aca="false">IF(J29="","",J29*CAR_FERT)</f>
        <v/>
      </c>
      <c r="N29" s="15" t="str">
        <f aca="false">IF(L29="","",L29+M29)</f>
        <v/>
      </c>
      <c r="O29" s="16" t="str">
        <f aca="false">IF(J29="","",J29*CAR_PRICE)</f>
        <v/>
      </c>
      <c r="P29" s="15" t="str">
        <f aca="false">IF(N29="","",O29-N29)</f>
        <v/>
      </c>
      <c r="Q29" s="15" t="str">
        <f aca="false">IF(N29="","",IF(N28="",N29,N29-N28))</f>
        <v/>
      </c>
      <c r="R29" s="13" t="n">
        <f aca="false">IF(25&lt;=MES_MAXBED,25,"")</f>
        <v>25</v>
      </c>
      <c r="S29" s="14" t="n">
        <f aca="false">IF(R29="","",R29*MES_HRS*WEEKS*(1+MES_DIM)^R29)</f>
        <v>1534.7170558626</v>
      </c>
      <c r="T29" s="15" t="n">
        <f aca="false">IF(S29="","",MIN(S29,FARMER_HRS)*FARMER_RATE+MAX(0,S29-FARMER_HRS)*TEMP_RATE)</f>
        <v>39144.3933309478</v>
      </c>
      <c r="U29" s="16" t="n">
        <f aca="false">IF(R29="","",R29*MES_FERT)</f>
        <v>22000</v>
      </c>
      <c r="V29" s="15" t="n">
        <f aca="false">IF(T29="","",T29+U29)</f>
        <v>61144.3933309478</v>
      </c>
      <c r="W29" s="16" t="n">
        <f aca="false">IF(R29="","",R29*MES_PRICE)</f>
        <v>67500</v>
      </c>
      <c r="X29" s="15" t="n">
        <f aca="false">IF(V29="","",W29-V29)</f>
        <v>6355.60666905216</v>
      </c>
      <c r="Y29" s="15" t="n">
        <f aca="false">IF(V29="","",IF(V28="",V29,V29-V28))</f>
        <v>2261.56113567878</v>
      </c>
    </row>
    <row r="30" customFormat="false" ht="15" hidden="false" customHeight="false" outlineLevel="0" collapsed="false">
      <c r="B30" s="13" t="str">
        <f aca="false">IF(26&lt;=TOM_MAXBED,26,"")</f>
        <v/>
      </c>
      <c r="C30" s="14" t="str">
        <f aca="false">IF(B30="","",B30*TOM_HRS*WEEKS*(1+TOM_DIM)^B30)</f>
        <v/>
      </c>
      <c r="D30" s="15" t="str">
        <f aca="false">IF(C30="","",MIN(C30,FARMER_HRS)*FARMER_RATE+MAX(0,C30-FARMER_HRS)*TEMP_RATE)</f>
        <v/>
      </c>
      <c r="E30" s="16" t="str">
        <f aca="false">IF(B30="","",B30*TOM_FERT)</f>
        <v/>
      </c>
      <c r="F30" s="15" t="str">
        <f aca="false">IF(D30="","",D30+E30)</f>
        <v/>
      </c>
      <c r="G30" s="16" t="str">
        <f aca="false">IF(B30="","",B30*TOM_PRICE)</f>
        <v/>
      </c>
      <c r="H30" s="15" t="str">
        <f aca="false">IF(F30="","",G30-F30)</f>
        <v/>
      </c>
      <c r="I30" s="15" t="str">
        <f aca="false">IF(F30="","",IF(F29="",F30,F30-F29))</f>
        <v/>
      </c>
      <c r="J30" s="13" t="str">
        <f aca="false">IF(26&lt;=CAR_MAXBED,26,"")</f>
        <v/>
      </c>
      <c r="K30" s="14" t="str">
        <f aca="false">IF(J30="","",J30*CAR_HRS*WEEKS*(1+CAR_DIM)^J30)</f>
        <v/>
      </c>
      <c r="L30" s="15" t="str">
        <f aca="false">IF(K30="","",MIN(K30,FARMER_HRS)*FARMER_RATE+MAX(0,K30-FARMER_HRS)*TEMP_RATE)</f>
        <v/>
      </c>
      <c r="M30" s="16" t="str">
        <f aca="false">IF(J30="","",J30*CAR_FERT)</f>
        <v/>
      </c>
      <c r="N30" s="15" t="str">
        <f aca="false">IF(L30="","",L30+M30)</f>
        <v/>
      </c>
      <c r="O30" s="16" t="str">
        <f aca="false">IF(J30="","",J30*CAR_PRICE)</f>
        <v/>
      </c>
      <c r="P30" s="15" t="str">
        <f aca="false">IF(N30="","",O30-N30)</f>
        <v/>
      </c>
      <c r="Q30" s="15" t="str">
        <f aca="false">IF(N30="","",IF(N29="",N30,N30-N29))</f>
        <v/>
      </c>
      <c r="R30" s="13" t="n">
        <f aca="false">IF(26&lt;=MES_MAXBED,26,"")</f>
        <v>26</v>
      </c>
      <c r="S30" s="14" t="n">
        <f aca="false">IF(R30="","",R30*MES_HRS*WEEKS*(1+MES_DIM)^R30)</f>
        <v>1616.05705982331</v>
      </c>
      <c r="T30" s="15" t="n">
        <f aca="false">IF(S30="","",MIN(S30,FARMER_HRS)*FARMER_RATE+MAX(0,S30-FARMER_HRS)*TEMP_RATE)</f>
        <v>40556.5461774881</v>
      </c>
      <c r="U30" s="16" t="n">
        <f aca="false">IF(R30="","",R30*MES_FERT)</f>
        <v>22880</v>
      </c>
      <c r="V30" s="15" t="n">
        <f aca="false">IF(T30="","",T30+U30)</f>
        <v>63436.5461774881</v>
      </c>
      <c r="W30" s="16" t="n">
        <f aca="false">IF(R30="","",R30*MES_PRICE)</f>
        <v>70200</v>
      </c>
      <c r="X30" s="15" t="n">
        <f aca="false">IF(V30="","",W30-V30)</f>
        <v>6763.45382251193</v>
      </c>
      <c r="Y30" s="15" t="n">
        <f aca="false">IF(V30="","",IF(V29="",V30,V30-V29))</f>
        <v>2292.15284654023</v>
      </c>
    </row>
    <row r="31" customFormat="false" ht="15" hidden="false" customHeight="false" outlineLevel="0" collapsed="false">
      <c r="B31" s="13" t="str">
        <f aca="false">IF(27&lt;=TOM_MAXBED,27,"")</f>
        <v/>
      </c>
      <c r="C31" s="14" t="str">
        <f aca="false">IF(B31="","",B31*TOM_HRS*WEEKS*(1+TOM_DIM)^B31)</f>
        <v/>
      </c>
      <c r="D31" s="15" t="str">
        <f aca="false">IF(C31="","",MIN(C31,FARMER_HRS)*FARMER_RATE+MAX(0,C31-FARMER_HRS)*TEMP_RATE)</f>
        <v/>
      </c>
      <c r="E31" s="16" t="str">
        <f aca="false">IF(B31="","",B31*TOM_FERT)</f>
        <v/>
      </c>
      <c r="F31" s="15" t="str">
        <f aca="false">IF(D31="","",D31+E31)</f>
        <v/>
      </c>
      <c r="G31" s="16" t="str">
        <f aca="false">IF(B31="","",B31*TOM_PRICE)</f>
        <v/>
      </c>
      <c r="H31" s="15" t="str">
        <f aca="false">IF(F31="","",G31-F31)</f>
        <v/>
      </c>
      <c r="I31" s="15" t="str">
        <f aca="false">IF(F31="","",IF(F30="",F31,F31-F30))</f>
        <v/>
      </c>
      <c r="J31" s="13" t="str">
        <f aca="false">IF(27&lt;=CAR_MAXBED,27,"")</f>
        <v/>
      </c>
      <c r="K31" s="14" t="str">
        <f aca="false">IF(J31="","",J31*CAR_HRS*WEEKS*(1+CAR_DIM)^J31)</f>
        <v/>
      </c>
      <c r="L31" s="15" t="str">
        <f aca="false">IF(K31="","",MIN(K31,FARMER_HRS)*FARMER_RATE+MAX(0,K31-FARMER_HRS)*TEMP_RATE)</f>
        <v/>
      </c>
      <c r="M31" s="16" t="str">
        <f aca="false">IF(J31="","",J31*CAR_FERT)</f>
        <v/>
      </c>
      <c r="N31" s="15" t="str">
        <f aca="false">IF(L31="","",L31+M31)</f>
        <v/>
      </c>
      <c r="O31" s="16" t="str">
        <f aca="false">IF(J31="","",J31*CAR_PRICE)</f>
        <v/>
      </c>
      <c r="P31" s="15" t="str">
        <f aca="false">IF(N31="","",O31-N31)</f>
        <v/>
      </c>
      <c r="Q31" s="15" t="str">
        <f aca="false">IF(N31="","",IF(N30="",N31,N31-N30))</f>
        <v/>
      </c>
      <c r="R31" s="13" t="n">
        <f aca="false">IF(27&lt;=MES_MAXBED,27,"")</f>
        <v>27</v>
      </c>
      <c r="S31" s="14" t="n">
        <f aca="false">IF(R31="","",R31*MES_HRS*WEEKS*(1+MES_DIM)^R31)</f>
        <v>1699.19076434307</v>
      </c>
      <c r="T31" s="15" t="n">
        <f aca="false">IF(S31="","",MIN(S31,FARMER_HRS)*FARMER_RATE+MAX(0,S31-FARMER_HRS)*TEMP_RATE)</f>
        <v>41999.8396587339</v>
      </c>
      <c r="U31" s="16" t="n">
        <f aca="false">IF(R31="","",R31*MES_FERT)</f>
        <v>23760</v>
      </c>
      <c r="V31" s="15" t="n">
        <f aca="false">IF(T31="","",T31+U31)</f>
        <v>65759.8396587339</v>
      </c>
      <c r="W31" s="16" t="n">
        <f aca="false">IF(R31="","",R31*MES_PRICE)</f>
        <v>72900</v>
      </c>
      <c r="X31" s="15" t="n">
        <f aca="false">IF(V31="","",W31-V31)</f>
        <v>7140.16034126615</v>
      </c>
      <c r="Y31" s="15" t="n">
        <f aca="false">IF(V31="","",IF(V30="",V31,V31-V30))</f>
        <v>2323.29348124578</v>
      </c>
    </row>
    <row r="32" customFormat="false" ht="15" hidden="false" customHeight="false" outlineLevel="0" collapsed="false">
      <c r="B32" s="13" t="str">
        <f aca="false">IF(28&lt;=TOM_MAXBED,28,"")</f>
        <v/>
      </c>
      <c r="C32" s="14" t="str">
        <f aca="false">IF(B32="","",B32*TOM_HRS*WEEKS*(1+TOM_DIM)^B32)</f>
        <v/>
      </c>
      <c r="D32" s="15" t="str">
        <f aca="false">IF(C32="","",MIN(C32,FARMER_HRS)*FARMER_RATE+MAX(0,C32-FARMER_HRS)*TEMP_RATE)</f>
        <v/>
      </c>
      <c r="E32" s="16" t="str">
        <f aca="false">IF(B32="","",B32*TOM_FERT)</f>
        <v/>
      </c>
      <c r="F32" s="15" t="str">
        <f aca="false">IF(D32="","",D32+E32)</f>
        <v/>
      </c>
      <c r="G32" s="16" t="str">
        <f aca="false">IF(B32="","",B32*TOM_PRICE)</f>
        <v/>
      </c>
      <c r="H32" s="15" t="str">
        <f aca="false">IF(F32="","",G32-F32)</f>
        <v/>
      </c>
      <c r="I32" s="15" t="str">
        <f aca="false">IF(F32="","",IF(F31="",F32,F32-F31))</f>
        <v/>
      </c>
      <c r="J32" s="13" t="str">
        <f aca="false">IF(28&lt;=CAR_MAXBED,28,"")</f>
        <v/>
      </c>
      <c r="K32" s="14" t="str">
        <f aca="false">IF(J32="","",J32*CAR_HRS*WEEKS*(1+CAR_DIM)^J32)</f>
        <v/>
      </c>
      <c r="L32" s="15" t="str">
        <f aca="false">IF(K32="","",MIN(K32,FARMER_HRS)*FARMER_RATE+MAX(0,K32-FARMER_HRS)*TEMP_RATE)</f>
        <v/>
      </c>
      <c r="M32" s="16" t="str">
        <f aca="false">IF(J32="","",J32*CAR_FERT)</f>
        <v/>
      </c>
      <c r="N32" s="15" t="str">
        <f aca="false">IF(L32="","",L32+M32)</f>
        <v/>
      </c>
      <c r="O32" s="16" t="str">
        <f aca="false">IF(J32="","",J32*CAR_PRICE)</f>
        <v/>
      </c>
      <c r="P32" s="15" t="str">
        <f aca="false">IF(N32="","",O32-N32)</f>
        <v/>
      </c>
      <c r="Q32" s="15" t="str">
        <f aca="false">IF(N32="","",IF(N31="",N32,N32-N31))</f>
        <v/>
      </c>
      <c r="R32" s="13" t="n">
        <f aca="false">IF(28&lt;=MES_MAXBED,28,"")</f>
        <v>28</v>
      </c>
      <c r="S32" s="14" t="n">
        <f aca="false">IF(R32="","",R32*MES_HRS*WEEKS*(1+MES_DIM)^R32)</f>
        <v>1784.15030256022</v>
      </c>
      <c r="T32" s="15" t="n">
        <f aca="false">IF(S32="","",MIN(S32,FARMER_HRS)*FARMER_RATE+MAX(0,S32-FARMER_HRS)*TEMP_RATE)</f>
        <v>43474.8316416705</v>
      </c>
      <c r="U32" s="16" t="n">
        <f aca="false">IF(R32="","",R32*MES_FERT)</f>
        <v>24640</v>
      </c>
      <c r="V32" s="15" t="n">
        <f aca="false">IF(T32="","",T32+U32)</f>
        <v>68114.8316416706</v>
      </c>
      <c r="W32" s="16" t="n">
        <f aca="false">IF(R32="","",R32*MES_PRICE)</f>
        <v>75600</v>
      </c>
      <c r="X32" s="15" t="n">
        <f aca="false">IF(V32="","",W32-V32)</f>
        <v>7485.16835832945</v>
      </c>
      <c r="Y32" s="15" t="n">
        <f aca="false">IF(V32="","",IF(V31="",V32,V32-V31))</f>
        <v>2354.9919829367</v>
      </c>
    </row>
    <row r="33" customFormat="false" ht="15" hidden="false" customHeight="false" outlineLevel="0" collapsed="false">
      <c r="B33" s="13" t="str">
        <f aca="false">IF(29&lt;=TOM_MAXBED,29,"")</f>
        <v/>
      </c>
      <c r="C33" s="14" t="str">
        <f aca="false">IF(B33="","",B33*TOM_HRS*WEEKS*(1+TOM_DIM)^B33)</f>
        <v/>
      </c>
      <c r="D33" s="15" t="str">
        <f aca="false">IF(C33="","",MIN(C33,FARMER_HRS)*FARMER_RATE+MAX(0,C33-FARMER_HRS)*TEMP_RATE)</f>
        <v/>
      </c>
      <c r="E33" s="16" t="str">
        <f aca="false">IF(B33="","",B33*TOM_FERT)</f>
        <v/>
      </c>
      <c r="F33" s="15" t="str">
        <f aca="false">IF(D33="","",D33+E33)</f>
        <v/>
      </c>
      <c r="G33" s="16" t="str">
        <f aca="false">IF(B33="","",B33*TOM_PRICE)</f>
        <v/>
      </c>
      <c r="H33" s="15" t="str">
        <f aca="false">IF(F33="","",G33-F33)</f>
        <v/>
      </c>
      <c r="I33" s="15" t="str">
        <f aca="false">IF(F33="","",IF(F32="",F33,F33-F32))</f>
        <v/>
      </c>
      <c r="J33" s="13" t="str">
        <f aca="false">IF(29&lt;=CAR_MAXBED,29,"")</f>
        <v/>
      </c>
      <c r="K33" s="14" t="str">
        <f aca="false">IF(J33="","",J33*CAR_HRS*WEEKS*(1+CAR_DIM)^J33)</f>
        <v/>
      </c>
      <c r="L33" s="15" t="str">
        <f aca="false">IF(K33="","",MIN(K33,FARMER_HRS)*FARMER_RATE+MAX(0,K33-FARMER_HRS)*TEMP_RATE)</f>
        <v/>
      </c>
      <c r="M33" s="16" t="str">
        <f aca="false">IF(J33="","",J33*CAR_FERT)</f>
        <v/>
      </c>
      <c r="N33" s="15" t="str">
        <f aca="false">IF(L33="","",L33+M33)</f>
        <v/>
      </c>
      <c r="O33" s="16" t="str">
        <f aca="false">IF(J33="","",J33*CAR_PRICE)</f>
        <v/>
      </c>
      <c r="P33" s="15" t="str">
        <f aca="false">IF(N33="","",O33-N33)</f>
        <v/>
      </c>
      <c r="Q33" s="15" t="str">
        <f aca="false">IF(N33="","",IF(N32="",N33,N33-N32))</f>
        <v/>
      </c>
      <c r="R33" s="13" t="n">
        <f aca="false">IF(29&lt;=MES_MAXBED,29,"")</f>
        <v>29</v>
      </c>
      <c r="S33" s="14" t="n">
        <f aca="false">IF(R33="","",R33*MES_HRS*WEEKS*(1+MES_DIM)^R33)</f>
        <v>1870.96833067588</v>
      </c>
      <c r="T33" s="15" t="n">
        <f aca="false">IF(S33="","",MIN(S33,FARMER_HRS)*FARMER_RATE+MAX(0,S33-FARMER_HRS)*TEMP_RATE)</f>
        <v>44982.089074234</v>
      </c>
      <c r="U33" s="16" t="n">
        <f aca="false">IF(R33="","",R33*MES_FERT)</f>
        <v>25520</v>
      </c>
      <c r="V33" s="15" t="n">
        <f aca="false">IF(T33="","",T33+U33)</f>
        <v>70502.089074234</v>
      </c>
      <c r="W33" s="16" t="n">
        <f aca="false">IF(R33="","",R33*MES_PRICE)</f>
        <v>78300</v>
      </c>
      <c r="X33" s="15" t="n">
        <f aca="false">IF(V33="","",W33-V33)</f>
        <v>7797.91092576603</v>
      </c>
      <c r="Y33" s="15" t="n">
        <f aca="false">IF(V33="","",IF(V32="",V33,V33-V32))</f>
        <v>2387.25743256342</v>
      </c>
    </row>
    <row r="34" customFormat="false" ht="15" hidden="false" customHeight="false" outlineLevel="0" collapsed="false">
      <c r="B34" s="13" t="str">
        <f aca="false">IF(30&lt;=TOM_MAXBED,30,"")</f>
        <v/>
      </c>
      <c r="C34" s="14" t="str">
        <f aca="false">IF(B34="","",B34*TOM_HRS*WEEKS*(1+TOM_DIM)^B34)</f>
        <v/>
      </c>
      <c r="D34" s="15" t="str">
        <f aca="false">IF(C34="","",MIN(C34,FARMER_HRS)*FARMER_RATE+MAX(0,C34-FARMER_HRS)*TEMP_RATE)</f>
        <v/>
      </c>
      <c r="E34" s="16" t="str">
        <f aca="false">IF(B34="","",B34*TOM_FERT)</f>
        <v/>
      </c>
      <c r="F34" s="15" t="str">
        <f aca="false">IF(D34="","",D34+E34)</f>
        <v/>
      </c>
      <c r="G34" s="16" t="str">
        <f aca="false">IF(B34="","",B34*TOM_PRICE)</f>
        <v/>
      </c>
      <c r="H34" s="15" t="str">
        <f aca="false">IF(F34="","",G34-F34)</f>
        <v/>
      </c>
      <c r="I34" s="15" t="str">
        <f aca="false">IF(F34="","",IF(F33="",F34,F34-F33))</f>
        <v/>
      </c>
      <c r="J34" s="13" t="str">
        <f aca="false">IF(30&lt;=CAR_MAXBED,30,"")</f>
        <v/>
      </c>
      <c r="K34" s="14" t="str">
        <f aca="false">IF(J34="","",J34*CAR_HRS*WEEKS*(1+CAR_DIM)^J34)</f>
        <v/>
      </c>
      <c r="L34" s="15" t="str">
        <f aca="false">IF(K34="","",MIN(K34,FARMER_HRS)*FARMER_RATE+MAX(0,K34-FARMER_HRS)*TEMP_RATE)</f>
        <v/>
      </c>
      <c r="M34" s="16" t="str">
        <f aca="false">IF(J34="","",J34*CAR_FERT)</f>
        <v/>
      </c>
      <c r="N34" s="15" t="str">
        <f aca="false">IF(L34="","",L34+M34)</f>
        <v/>
      </c>
      <c r="O34" s="16" t="str">
        <f aca="false">IF(J34="","",J34*CAR_PRICE)</f>
        <v/>
      </c>
      <c r="P34" s="15" t="str">
        <f aca="false">IF(N34="","",O34-N34)</f>
        <v/>
      </c>
      <c r="Q34" s="15" t="str">
        <f aca="false">IF(N34="","",IF(N33="",N34,N34-N33))</f>
        <v/>
      </c>
      <c r="R34" s="13" t="n">
        <f aca="false">IF(30&lt;=MES_MAXBED,30,"")</f>
        <v>30</v>
      </c>
      <c r="S34" s="14" t="n">
        <f aca="false">IF(R34="","",R34*MES_HRS*WEEKS*(1+MES_DIM)^R34)</f>
        <v>1959.67803600965</v>
      </c>
      <c r="T34" s="15" t="n">
        <f aca="false">IF(S34="","",MIN(S34,FARMER_HRS)*FARMER_RATE+MAX(0,S34-FARMER_HRS)*TEMP_RATE)</f>
        <v>46522.1881251675</v>
      </c>
      <c r="U34" s="16" t="n">
        <f aca="false">IF(R34="","",R34*MES_FERT)</f>
        <v>26400</v>
      </c>
      <c r="V34" s="15" t="n">
        <f aca="false">IF(T34="","",T34+U34)</f>
        <v>72922.1881251675</v>
      </c>
      <c r="W34" s="16" t="n">
        <f aca="false">IF(R34="","",R34*MES_PRICE)</f>
        <v>81000</v>
      </c>
      <c r="X34" s="15" t="n">
        <f aca="false">IF(V34="","",W34-V34)</f>
        <v>8077.81187483252</v>
      </c>
      <c r="Y34" s="15" t="n">
        <f aca="false">IF(V34="","",IF(V33="",V34,V34-V33))</f>
        <v>2420.09905093351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50"/>
  </cols>
  <sheetData>
    <row r="1" customFormat="false" ht="17.35" hidden="false" customHeight="false" outlineLevel="0" collapsed="false">
      <c r="A1" s="1" t="s">
        <v>63</v>
      </c>
    </row>
    <row r="2" customFormat="false" ht="15" hidden="false" customHeight="false" outlineLevel="0" collapsed="false">
      <c r="A2" s="17" t="s">
        <v>64</v>
      </c>
    </row>
    <row r="4" customFormat="false" ht="15" hidden="false" customHeight="false" outlineLevel="0" collapsed="false">
      <c r="A4" s="2" t="s">
        <v>65</v>
      </c>
    </row>
    <row r="5" customFormat="false" ht="15" hidden="false" customHeight="false" outlineLevel="0" collapsed="false">
      <c r="A5" s="3" t="s">
        <v>2</v>
      </c>
      <c r="B5" s="3" t="s">
        <v>3</v>
      </c>
      <c r="C5" s="3" t="s">
        <v>66</v>
      </c>
    </row>
    <row r="6" customFormat="false" ht="15" hidden="false" customHeight="false" outlineLevel="0" collapsed="false">
      <c r="A6" s="4" t="s">
        <v>67</v>
      </c>
      <c r="B6" s="9" t="n">
        <v>0</v>
      </c>
      <c r="C6" s="6" t="s">
        <v>68</v>
      </c>
    </row>
    <row r="7" customFormat="false" ht="15" hidden="false" customHeight="false" outlineLevel="0" collapsed="false">
      <c r="A7" s="4" t="s">
        <v>69</v>
      </c>
      <c r="B7" s="9" t="n">
        <v>0</v>
      </c>
      <c r="C7" s="6" t="s">
        <v>70</v>
      </c>
    </row>
    <row r="8" customFormat="false" ht="15" hidden="false" customHeight="false" outlineLevel="0" collapsed="false">
      <c r="A8" s="4" t="s">
        <v>71</v>
      </c>
      <c r="B8" s="9" t="n">
        <v>0</v>
      </c>
      <c r="C8" s="6" t="s">
        <v>72</v>
      </c>
    </row>
    <row r="10" customFormat="false" ht="15" hidden="false" customHeight="false" outlineLevel="0" collapsed="false">
      <c r="A10" s="2" t="s">
        <v>73</v>
      </c>
    </row>
    <row r="11" customFormat="false" ht="15" hidden="false" customHeight="false" outlineLevel="0" collapsed="false">
      <c r="A11" s="3" t="s">
        <v>2</v>
      </c>
      <c r="B11" s="3" t="s">
        <v>3</v>
      </c>
      <c r="C11" s="3" t="s">
        <v>66</v>
      </c>
    </row>
    <row r="12" customFormat="false" ht="15" hidden="false" customHeight="false" outlineLevel="0" collapsed="false">
      <c r="A12" s="4" t="s">
        <v>74</v>
      </c>
      <c r="B12" s="14" t="n">
        <f aca="false">IF(TOM_BEDS=0,0,TOM_BEDS*TOM_HRS*WEEKS*(1+TOM_DIM)^TOM_BEDS)</f>
        <v>0</v>
      </c>
      <c r="C12" s="18" t="s">
        <v>75</v>
      </c>
    </row>
    <row r="13" customFormat="false" ht="15" hidden="false" customHeight="false" outlineLevel="0" collapsed="false">
      <c r="A13" s="4" t="s">
        <v>76</v>
      </c>
      <c r="B13" s="14" t="n">
        <f aca="false">IF(CAR_BEDS=0,0,CAR_BEDS*CAR_HRS*WEEKS*(1+CAR_DIM)^CAR_BEDS)</f>
        <v>0</v>
      </c>
      <c r="C13" s="18" t="s">
        <v>77</v>
      </c>
    </row>
    <row r="14" customFormat="false" ht="15" hidden="false" customHeight="false" outlineLevel="0" collapsed="false">
      <c r="A14" s="4" t="s">
        <v>78</v>
      </c>
      <c r="B14" s="14" t="n">
        <f aca="false">IF(MES_BEDS=0,0,MES_BEDS*MES_HRS*WEEKS*(1+MES_DIM)^MES_BEDS)</f>
        <v>0</v>
      </c>
      <c r="C14" s="18" t="s">
        <v>79</v>
      </c>
    </row>
    <row r="15" customFormat="false" ht="28.35" hidden="false" customHeight="false" outlineLevel="0" collapsed="false">
      <c r="A15" s="4" t="s">
        <v>80</v>
      </c>
      <c r="B15" s="14" t="n">
        <f aca="false">LH_TOM+LH_CAR+LH_MES</f>
        <v>0</v>
      </c>
      <c r="C15" s="18" t="s">
        <v>81</v>
      </c>
    </row>
    <row r="16" customFormat="false" ht="28.35" hidden="false" customHeight="false" outlineLevel="0" collapsed="false">
      <c r="A16" s="4" t="s">
        <v>82</v>
      </c>
      <c r="B16" s="13" t="n">
        <f aca="false">ROUNDUP(MAX(0,TOTAL_LABOR_HRS-FARMER_HRS)/TEMP_HRS_EACH,0)</f>
        <v>0</v>
      </c>
      <c r="C16" s="18" t="s">
        <v>83</v>
      </c>
    </row>
    <row r="17" customFormat="false" ht="28.35" hidden="false" customHeight="false" outlineLevel="0" collapsed="false">
      <c r="A17" s="4" t="s">
        <v>84</v>
      </c>
      <c r="B17" s="15" t="n">
        <f aca="false">MIN(TOTAL_LABOR_HRS,FARMER_HRS)*FARMER_RATE+MAX(0,TOTAL_LABOR_HRS-FARMER_HRS)*TEMP_RATE</f>
        <v>0</v>
      </c>
      <c r="C17" s="18" t="s">
        <v>85</v>
      </c>
    </row>
    <row r="18" customFormat="false" ht="41.75" hidden="false" customHeight="false" outlineLevel="0" collapsed="false">
      <c r="A18" s="4" t="s">
        <v>86</v>
      </c>
      <c r="B18" s="19" t="n">
        <f aca="false">IF(TOTAL_LABOR_HRS=0,0,TOTAL_LABOR_COST/TOTAL_LABOR_HRS)</f>
        <v>0</v>
      </c>
      <c r="C18" s="18" t="s">
        <v>87</v>
      </c>
    </row>
    <row r="20" customFormat="false" ht="15" hidden="false" customHeight="false" outlineLevel="0" collapsed="false">
      <c r="A20" s="2" t="s">
        <v>61</v>
      </c>
    </row>
    <row r="21" customFormat="false" ht="15" hidden="false" customHeight="false" outlineLevel="0" collapsed="false">
      <c r="A21" s="3" t="s">
        <v>2</v>
      </c>
      <c r="B21" s="3" t="s">
        <v>3</v>
      </c>
      <c r="C21" s="3" t="s">
        <v>66</v>
      </c>
    </row>
    <row r="22" customFormat="false" ht="15" hidden="false" customHeight="false" outlineLevel="0" collapsed="false">
      <c r="A22" s="4" t="s">
        <v>88</v>
      </c>
      <c r="B22" s="15" t="n">
        <f aca="false">(LH_TOM*EFFECTIVE_RATE)+(TOM_BEDS*TOM_FERT)</f>
        <v>0</v>
      </c>
      <c r="C22" s="18" t="s">
        <v>89</v>
      </c>
    </row>
    <row r="23" customFormat="false" ht="15" hidden="false" customHeight="false" outlineLevel="0" collapsed="false">
      <c r="A23" s="4" t="s">
        <v>90</v>
      </c>
      <c r="B23" s="15" t="n">
        <f aca="false">(LH_CAR*EFFECTIVE_RATE)+(CAR_BEDS*CAR_FERT)</f>
        <v>0</v>
      </c>
      <c r="C23" s="18" t="s">
        <v>91</v>
      </c>
    </row>
    <row r="24" customFormat="false" ht="15" hidden="false" customHeight="false" outlineLevel="0" collapsed="false">
      <c r="A24" s="4" t="s">
        <v>92</v>
      </c>
      <c r="B24" s="15" t="n">
        <f aca="false">(LH_MES*EFFECTIVE_RATE)+(MES_BEDS*MES_FERT)</f>
        <v>0</v>
      </c>
      <c r="C24" s="18" t="s">
        <v>93</v>
      </c>
    </row>
    <row r="25" customFormat="false" ht="15" hidden="false" customHeight="false" outlineLevel="0" collapsed="false">
      <c r="A25" s="4" t="s">
        <v>94</v>
      </c>
      <c r="B25" s="16" t="n">
        <f aca="false">TOM_BEDS*TOM_PRICE</f>
        <v>0</v>
      </c>
      <c r="C25" s="18" t="s">
        <v>95</v>
      </c>
    </row>
    <row r="26" customFormat="false" ht="15" hidden="false" customHeight="false" outlineLevel="0" collapsed="false">
      <c r="A26" s="4" t="s">
        <v>96</v>
      </c>
      <c r="B26" s="16" t="n">
        <f aca="false">CAR_BEDS*CAR_PRICE</f>
        <v>0</v>
      </c>
      <c r="C26" s="18" t="s">
        <v>97</v>
      </c>
    </row>
    <row r="27" customFormat="false" ht="15" hidden="false" customHeight="false" outlineLevel="0" collapsed="false">
      <c r="A27" s="4" t="s">
        <v>98</v>
      </c>
      <c r="B27" s="16" t="n">
        <f aca="false">MES_BEDS*MES_PRICE</f>
        <v>0</v>
      </c>
      <c r="C27" s="18" t="s">
        <v>99</v>
      </c>
    </row>
    <row r="28" customFormat="false" ht="15" hidden="false" customHeight="false" outlineLevel="0" collapsed="false">
      <c r="A28" s="4" t="s">
        <v>100</v>
      </c>
      <c r="B28" s="15" t="n">
        <f aca="false">REV_TOM-COST_TOM</f>
        <v>0</v>
      </c>
      <c r="C28" s="18" t="s">
        <v>101</v>
      </c>
    </row>
    <row r="29" customFormat="false" ht="15" hidden="false" customHeight="false" outlineLevel="0" collapsed="false">
      <c r="A29" s="4" t="s">
        <v>102</v>
      </c>
      <c r="B29" s="15" t="n">
        <f aca="false">REV_CAR-COST_CAR</f>
        <v>0</v>
      </c>
      <c r="C29" s="18" t="s">
        <v>103</v>
      </c>
    </row>
    <row r="30" customFormat="false" ht="15" hidden="false" customHeight="false" outlineLevel="0" collapsed="false">
      <c r="A30" s="4" t="s">
        <v>104</v>
      </c>
      <c r="B30" s="15" t="n">
        <f aca="false">REV_MES-COST_MES</f>
        <v>0</v>
      </c>
      <c r="C30" s="18" t="s">
        <v>105</v>
      </c>
    </row>
    <row r="31" customFormat="false" ht="15" hidden="false" customHeight="false" outlineLevel="0" collapsed="false">
      <c r="A31" s="4" t="s">
        <v>106</v>
      </c>
      <c r="B31" s="15" t="n">
        <f aca="false">PROFIT_TOM+PROFIT_CAR+PROFIT_MES-FIXED_COSTS</f>
        <v>-20000</v>
      </c>
      <c r="C31" s="18" t="s">
        <v>107</v>
      </c>
    </row>
    <row r="33" customFormat="false" ht="15" hidden="false" customHeight="false" outlineLevel="0" collapsed="false">
      <c r="A33" s="2" t="s">
        <v>108</v>
      </c>
    </row>
    <row r="34" customFormat="false" ht="15" hidden="false" customHeight="false" outlineLevel="0" collapsed="false">
      <c r="A34" s="3" t="s">
        <v>109</v>
      </c>
      <c r="B34" s="3" t="s">
        <v>110</v>
      </c>
      <c r="C34" s="3" t="s">
        <v>111</v>
      </c>
    </row>
    <row r="35" customFormat="false" ht="15" hidden="false" customHeight="false" outlineLevel="0" collapsed="false">
      <c r="A35" s="4" t="s">
        <v>112</v>
      </c>
      <c r="B35" s="20" t="str">
        <f aca="false">IF(TOM_BEDS&lt;=TOM_MAXBED,"OK","VIOLATED")</f>
        <v>OK</v>
      </c>
      <c r="C35" s="18" t="s">
        <v>113</v>
      </c>
    </row>
    <row r="36" customFormat="false" ht="15" hidden="false" customHeight="false" outlineLevel="0" collapsed="false">
      <c r="A36" s="4" t="s">
        <v>114</v>
      </c>
      <c r="B36" s="20" t="str">
        <f aca="false">IF(CAR_BEDS&lt;=CAR_MAXBED,"OK","VIOLATED")</f>
        <v>OK</v>
      </c>
      <c r="C36" s="18" t="s">
        <v>113</v>
      </c>
    </row>
    <row r="37" customFormat="false" ht="15" hidden="false" customHeight="false" outlineLevel="0" collapsed="false">
      <c r="A37" s="4" t="s">
        <v>115</v>
      </c>
      <c r="B37" s="20" t="str">
        <f aca="false">IF(MES_BEDS&lt;=MES_MAXBED,"OK","VIOLATED")</f>
        <v>OK</v>
      </c>
      <c r="C37" s="18" t="s">
        <v>113</v>
      </c>
    </row>
    <row r="38" customFormat="false" ht="15" hidden="false" customHeight="false" outlineLevel="0" collapsed="false">
      <c r="A38" s="4" t="s">
        <v>116</v>
      </c>
      <c r="B38" s="20" t="str">
        <f aca="false">IF(TOM_BEDS+CAR_BEDS+MES_BEDS&lt;=TOTAL_BED_CAP,"OK","VIOLATED")</f>
        <v>OK</v>
      </c>
      <c r="C38" s="18" t="s">
        <v>117</v>
      </c>
    </row>
    <row r="39" customFormat="false" ht="15" hidden="false" customHeight="false" outlineLevel="0" collapsed="false">
      <c r="A39" s="4" t="s">
        <v>118</v>
      </c>
      <c r="B39" s="20" t="str">
        <f aca="false">IF(TEMP_WORKERS&lt;=TEMP_MAX,"OK","VIOLATED")</f>
        <v>OK</v>
      </c>
      <c r="C39" s="18" t="s">
        <v>119</v>
      </c>
    </row>
    <row r="40" customFormat="false" ht="28.35" hidden="false" customHeight="false" outlineLevel="0" collapsed="false">
      <c r="A40" s="4" t="s">
        <v>120</v>
      </c>
      <c r="B40" s="20" t="str">
        <f aca="false">IF(TOTAL_LABOR_HRS&lt;=FARMER_HRS+TEMP_MAX*TEMP_HRS_EACH,"OK","VIOLATED")</f>
        <v>OK</v>
      </c>
      <c r="C40" s="18" t="s">
        <v>121</v>
      </c>
    </row>
    <row r="41" customFormat="false" ht="28.35" hidden="false" customHeight="false" outlineLevel="0" collapsed="false">
      <c r="A41" s="4" t="s">
        <v>122</v>
      </c>
      <c r="B41" s="20" t="str">
        <f aca="false">IF(AND(MOD(TOM_BEDS,1)=0,MOD(CAR_BEDS,1)=0,MOD(MES_BEDS,1)=0),"OK","VIOLATED")</f>
        <v>OK</v>
      </c>
      <c r="C41" s="18" t="s">
        <v>123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8"/>
    <col collapsed="false" customWidth="true" hidden="false" outlineLevel="0" max="3" min="3" style="0" width="50"/>
  </cols>
  <sheetData>
    <row r="1" customFormat="false" ht="17.35" hidden="false" customHeight="false" outlineLevel="0" collapsed="false">
      <c r="A1" s="1" t="s">
        <v>124</v>
      </c>
    </row>
    <row r="2" customFormat="false" ht="15" hidden="false" customHeight="false" outlineLevel="0" collapsed="false">
      <c r="A2" s="17" t="s">
        <v>125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126</v>
      </c>
    </row>
    <row r="5" customFormat="false" ht="15" hidden="false" customHeight="false" outlineLevel="0" collapsed="false">
      <c r="A5" s="4" t="s">
        <v>127</v>
      </c>
      <c r="B5" s="21" t="n">
        <f aca="false">TOM_BEDS</f>
        <v>0</v>
      </c>
      <c r="C5" s="18" t="s">
        <v>128</v>
      </c>
    </row>
    <row r="6" customFormat="false" ht="15" hidden="false" customHeight="false" outlineLevel="0" collapsed="false">
      <c r="A6" s="4" t="s">
        <v>129</v>
      </c>
      <c r="B6" s="21" t="n">
        <f aca="false">CAR_BEDS</f>
        <v>0</v>
      </c>
      <c r="C6" s="18" t="s">
        <v>130</v>
      </c>
    </row>
    <row r="7" customFormat="false" ht="15" hidden="false" customHeight="false" outlineLevel="0" collapsed="false">
      <c r="A7" s="4" t="s">
        <v>131</v>
      </c>
      <c r="B7" s="21" t="n">
        <f aca="false">MES_BEDS</f>
        <v>0</v>
      </c>
      <c r="C7" s="18" t="s">
        <v>132</v>
      </c>
    </row>
    <row r="8" customFormat="false" ht="15" hidden="false" customHeight="false" outlineLevel="0" collapsed="false">
      <c r="A8" s="4" t="s">
        <v>133</v>
      </c>
      <c r="B8" s="21" t="n">
        <f aca="false">TOM_BEDS+CAR_BEDS+MES_BEDS</f>
        <v>0</v>
      </c>
      <c r="C8" s="18" t="s">
        <v>134</v>
      </c>
    </row>
    <row r="9" customFormat="false" ht="15" hidden="false" customHeight="false" outlineLevel="0" collapsed="false">
      <c r="A9" s="4" t="s">
        <v>135</v>
      </c>
      <c r="B9" s="21" t="n">
        <f aca="false">TEMP_WORKERS</f>
        <v>0</v>
      </c>
      <c r="C9" s="18" t="s">
        <v>136</v>
      </c>
    </row>
    <row r="10" customFormat="false" ht="15" hidden="false" customHeight="false" outlineLevel="0" collapsed="false">
      <c r="A10" s="4" t="s">
        <v>137</v>
      </c>
      <c r="B10" s="22" t="n">
        <f aca="false">PROFIT_TOM</f>
        <v>0</v>
      </c>
      <c r="C10" s="18" t="s">
        <v>138</v>
      </c>
    </row>
    <row r="11" customFormat="false" ht="15" hidden="false" customHeight="false" outlineLevel="0" collapsed="false">
      <c r="A11" s="4" t="s">
        <v>139</v>
      </c>
      <c r="B11" s="22" t="n">
        <f aca="false">PROFIT_CAR</f>
        <v>0</v>
      </c>
      <c r="C11" s="18" t="s">
        <v>140</v>
      </c>
    </row>
    <row r="12" customFormat="false" ht="15" hidden="false" customHeight="false" outlineLevel="0" collapsed="false">
      <c r="A12" s="4" t="s">
        <v>141</v>
      </c>
      <c r="B12" s="22" t="n">
        <f aca="false">PROFIT_MES</f>
        <v>0</v>
      </c>
      <c r="C12" s="18" t="s">
        <v>142</v>
      </c>
    </row>
    <row r="13" customFormat="false" ht="15" hidden="false" customHeight="false" outlineLevel="0" collapsed="false">
      <c r="A13" s="4" t="s">
        <v>143</v>
      </c>
      <c r="B13" s="22" t="n">
        <f aca="false">TOTAL_PROFIT</f>
        <v>-20000</v>
      </c>
      <c r="C13" s="18" t="s">
        <v>144</v>
      </c>
    </row>
    <row r="15" customFormat="false" ht="15" hidden="false" customHeight="false" outlineLevel="0" collapsed="false">
      <c r="A15" s="2" t="s">
        <v>145</v>
      </c>
    </row>
    <row r="16" customFormat="false" ht="41.75" hidden="false" customHeight="true" outlineLevel="0" collapsed="false">
      <c r="A16" s="23" t="s">
        <v>146</v>
      </c>
      <c r="B16" s="23"/>
      <c r="C16" s="23"/>
    </row>
    <row r="17" customFormat="false" ht="15" hidden="false" customHeight="false" outlineLevel="0" collapsed="false">
      <c r="A17" s="3" t="s">
        <v>2</v>
      </c>
      <c r="B17" s="3" t="s">
        <v>3</v>
      </c>
      <c r="C17" s="3" t="s">
        <v>126</v>
      </c>
    </row>
    <row r="18" customFormat="false" ht="28.35" hidden="false" customHeight="false" outlineLevel="0" collapsed="false">
      <c r="A18" s="4" t="s">
        <v>147</v>
      </c>
      <c r="B18" s="24"/>
      <c r="C18" s="18" t="s">
        <v>148</v>
      </c>
    </row>
    <row r="19" customFormat="false" ht="28.35" hidden="false" customHeight="false" outlineLevel="0" collapsed="false">
      <c r="A19" s="4" t="s">
        <v>149</v>
      </c>
      <c r="B19" s="24"/>
      <c r="C19" s="18" t="s">
        <v>150</v>
      </c>
    </row>
    <row r="20" customFormat="false" ht="28.35" hidden="false" customHeight="false" outlineLevel="0" collapsed="false">
      <c r="A20" s="4" t="s">
        <v>151</v>
      </c>
      <c r="B20" s="24"/>
      <c r="C20" s="18" t="s">
        <v>152</v>
      </c>
    </row>
    <row r="21" customFormat="false" ht="28.35" hidden="false" customHeight="false" outlineLevel="0" collapsed="false">
      <c r="A21" s="4" t="s">
        <v>153</v>
      </c>
      <c r="B21" s="24"/>
      <c r="C21" s="18" t="s">
        <v>154</v>
      </c>
    </row>
    <row r="22" customFormat="false" ht="15" hidden="false" customHeight="false" outlineLevel="0" collapsed="false">
      <c r="A22" s="4" t="s">
        <v>155</v>
      </c>
      <c r="B22" s="24"/>
      <c r="C22" s="18" t="s">
        <v>156</v>
      </c>
    </row>
  </sheetData>
  <mergeCells count="1">
    <mergeCell ref="A16:C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8"/>
    <col collapsed="false" customWidth="true" hidden="false" outlineLevel="0" max="4" min="4" style="0" width="12"/>
    <col collapsed="false" customWidth="true" hidden="false" outlineLevel="0" max="5" min="5" style="0" width="45"/>
  </cols>
  <sheetData>
    <row r="1" customFormat="false" ht="17.35" hidden="false" customHeight="false" outlineLevel="0" collapsed="false">
      <c r="A1" s="1" t="s">
        <v>157</v>
      </c>
    </row>
    <row r="3" customFormat="false" ht="15" hidden="false" customHeight="false" outlineLevel="0" collapsed="false">
      <c r="A3" s="2" t="s">
        <v>158</v>
      </c>
    </row>
    <row r="4" customFormat="false" ht="15" hidden="false" customHeight="false" outlineLevel="0" collapsed="false">
      <c r="A4" s="3" t="s">
        <v>159</v>
      </c>
      <c r="B4" s="3" t="s">
        <v>160</v>
      </c>
      <c r="C4" s="3" t="s">
        <v>161</v>
      </c>
      <c r="D4" s="3" t="s">
        <v>162</v>
      </c>
    </row>
    <row r="5" customFormat="false" ht="15" hidden="false" customHeight="false" outlineLevel="0" collapsed="false">
      <c r="A5" s="6" t="s">
        <v>163</v>
      </c>
      <c r="B5" s="25" t="n">
        <f aca="false">1*TOM_HRS*WEEKS*(1+TOM_DIM)^1</f>
        <v>99</v>
      </c>
      <c r="C5" s="26" t="n">
        <v>99</v>
      </c>
      <c r="D5" s="6" t="str">
        <f aca="false">IF(ABS(B5-C5)&lt;0.01,"OK","CHECK")</f>
        <v>OK</v>
      </c>
    </row>
    <row r="6" customFormat="false" ht="15" hidden="false" customHeight="false" outlineLevel="0" collapsed="false">
      <c r="A6" s="6" t="s">
        <v>164</v>
      </c>
      <c r="B6" s="15" t="n">
        <f aca="false">MIN(B5,FARMER_HRS)*FARMER_RATE+880</f>
        <v>4317.5</v>
      </c>
      <c r="C6" s="26" t="n">
        <v>4317</v>
      </c>
      <c r="D6" s="6" t="str">
        <f aca="false">IF(ABS(B6-C6)&lt;1,"OK","CHECK")</f>
        <v>OK</v>
      </c>
    </row>
    <row r="7" customFormat="false" ht="15" hidden="false" customHeight="false" outlineLevel="0" collapsed="false">
      <c r="A7" s="6" t="s">
        <v>165</v>
      </c>
      <c r="B7" s="15" t="n">
        <f aca="false">TOM_PRICE-B6</f>
        <v>4482.5</v>
      </c>
      <c r="C7" s="26" t="n">
        <v>4483</v>
      </c>
      <c r="D7" s="6" t="str">
        <f aca="false">IF(ABS(B7-C7)&lt;1,"OK","CHECK")</f>
        <v>OK</v>
      </c>
    </row>
    <row r="9" customFormat="false" ht="15" hidden="false" customHeight="false" outlineLevel="0" collapsed="false">
      <c r="A9" s="2" t="s">
        <v>166</v>
      </c>
    </row>
    <row r="10" customFormat="false" ht="15" hidden="false" customHeight="false" outlineLevel="0" collapsed="false">
      <c r="A10" s="3" t="s">
        <v>167</v>
      </c>
      <c r="B10" s="3" t="s">
        <v>168</v>
      </c>
      <c r="C10" s="3" t="s">
        <v>169</v>
      </c>
      <c r="D10" s="3" t="s">
        <v>162</v>
      </c>
    </row>
    <row r="11" customFormat="false" ht="15" hidden="false" customHeight="false" outlineLevel="0" collapsed="false">
      <c r="A11" s="6" t="s">
        <v>52</v>
      </c>
      <c r="B11" s="15" t="n">
        <f aca="false">'Cost &amp; Marginal Cost'!H5</f>
        <v>4482.5</v>
      </c>
      <c r="C11" s="26" t="n">
        <v>4483</v>
      </c>
      <c r="D11" s="6" t="str">
        <f aca="false">IF(ABS(B11-C11)&lt;1,"OK","CHECK")</f>
        <v>OK</v>
      </c>
    </row>
    <row r="12" customFormat="false" ht="15" hidden="false" customHeight="false" outlineLevel="0" collapsed="false">
      <c r="A12" s="6" t="s">
        <v>53</v>
      </c>
      <c r="B12" s="15" t="n">
        <f aca="false">'Cost &amp; Marginal Cost'!P5</f>
        <v>586.291666666667</v>
      </c>
      <c r="C12" s="26" t="n">
        <v>586</v>
      </c>
      <c r="D12" s="6" t="str">
        <f aca="false">IF(ABS(B12-C12)&lt;1,"OK","CHECK")</f>
        <v>OK</v>
      </c>
    </row>
    <row r="13" customFormat="false" ht="15" hidden="false" customHeight="false" outlineLevel="0" collapsed="false">
      <c r="A13" s="6" t="s">
        <v>54</v>
      </c>
      <c r="B13" s="15" t="n">
        <f aca="false">'Cost &amp; Marginal Cost'!X5</f>
        <v>237.96875</v>
      </c>
      <c r="C13" s="26" t="n">
        <v>238</v>
      </c>
      <c r="D13" s="6" t="str">
        <f aca="false">IF(ABS(B13-C13)&lt;1,"OK","CHECK")</f>
        <v>OK</v>
      </c>
    </row>
    <row r="15" customFormat="false" ht="15" hidden="false" customHeight="false" outlineLevel="0" collapsed="false">
      <c r="A15" s="2" t="s">
        <v>170</v>
      </c>
    </row>
    <row r="16" customFormat="false" ht="15" hidden="false" customHeight="false" outlineLevel="0" collapsed="false">
      <c r="A16" s="3" t="s">
        <v>171</v>
      </c>
      <c r="B16" s="3" t="s">
        <v>172</v>
      </c>
      <c r="C16" s="3" t="s">
        <v>61</v>
      </c>
      <c r="D16" s="3" t="s">
        <v>66</v>
      </c>
    </row>
    <row r="17" customFormat="false" ht="15" hidden="false" customHeight="false" outlineLevel="0" collapsed="false">
      <c r="A17" s="6" t="s">
        <v>173</v>
      </c>
      <c r="B17" s="6"/>
      <c r="C17" s="6"/>
      <c r="D17" s="6"/>
    </row>
    <row r="18" customFormat="false" ht="15" hidden="false" customHeight="false" outlineLevel="0" collapsed="false">
      <c r="A18" s="6" t="s">
        <v>174</v>
      </c>
      <c r="B18" s="6"/>
      <c r="C18" s="6"/>
      <c r="D18" s="6"/>
    </row>
    <row r="19" customFormat="false" ht="28.35" hidden="false" customHeight="true" outlineLevel="0" collapsed="false">
      <c r="A19" s="23" t="s">
        <v>175</v>
      </c>
      <c r="B19" s="23"/>
      <c r="C19" s="23"/>
      <c r="D19" s="23"/>
    </row>
    <row r="21" customFormat="false" ht="15" hidden="false" customHeight="false" outlineLevel="0" collapsed="false">
      <c r="A21" s="2" t="s">
        <v>176</v>
      </c>
    </row>
    <row r="22" customFormat="false" ht="15" hidden="false" customHeight="false" outlineLevel="0" collapsed="false">
      <c r="A22" s="3" t="s">
        <v>159</v>
      </c>
      <c r="B22" s="3" t="s">
        <v>168</v>
      </c>
      <c r="C22" s="3" t="s">
        <v>177</v>
      </c>
      <c r="D22" s="3" t="s">
        <v>178</v>
      </c>
    </row>
    <row r="23" customFormat="false" ht="15" hidden="false" customHeight="false" outlineLevel="0" collapsed="false">
      <c r="A23" s="6" t="s">
        <v>179</v>
      </c>
      <c r="B23" s="20" t="str">
        <f aca="false">Results!B5&amp;"/"&amp;Results!B6&amp;"/"&amp;Results!B7</f>
        <v>0/0/0</v>
      </c>
      <c r="C23" s="6" t="s">
        <v>180</v>
      </c>
      <c r="D23" s="6" t="s">
        <v>181</v>
      </c>
    </row>
    <row r="24" customFormat="false" ht="15" hidden="false" customHeight="false" outlineLevel="0" collapsed="false">
      <c r="A24" s="6" t="s">
        <v>182</v>
      </c>
      <c r="B24" s="15" t="n">
        <f aca="false">Results!B13</f>
        <v>-20000</v>
      </c>
      <c r="C24" s="6" t="s">
        <v>183</v>
      </c>
      <c r="D24" s="6" t="s">
        <v>184</v>
      </c>
    </row>
    <row r="26" customFormat="false" ht="15" hidden="false" customHeight="false" outlineLevel="0" collapsed="false">
      <c r="A26" s="2" t="s">
        <v>185</v>
      </c>
    </row>
    <row r="27" customFormat="false" ht="15" hidden="false" customHeight="false" outlineLevel="0" collapsed="false">
      <c r="A27" s="0" t="s">
        <v>186</v>
      </c>
    </row>
    <row r="28" customFormat="false" ht="15" hidden="false" customHeight="false" outlineLevel="0" collapsed="false">
      <c r="A28" s="0" t="s">
        <v>187</v>
      </c>
    </row>
    <row r="29" customFormat="false" ht="15" hidden="false" customHeight="false" outlineLevel="0" collapsed="false">
      <c r="A29" s="0" t="s">
        <v>188</v>
      </c>
    </row>
  </sheetData>
  <mergeCells count="1">
    <mergeCell ref="A19:D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2026-09-23T23:00:18Z</dcterms:created>
  <dc:creator>openpyxl</dc:creator>
  <dc:description/>
  <dc:language>en-US</dc:language>
  <cp:lastModifiedBy/>
  <dcterms:modified xsi:type="dcterms:W3CDTF">2026-09-23T23:00:18Z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