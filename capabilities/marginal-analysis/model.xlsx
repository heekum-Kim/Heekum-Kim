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0015\Heekum-Kim\capabilities\marginal-analysis\"/>
    </mc:Choice>
  </mc:AlternateContent>
  <xr:revisionPtr revIDLastSave="0" documentId="13_ncr:1_{3C84F43E-9708-4A7F-9358-E8F3476352AE}" xr6:coauthVersionLast="47" xr6:coauthVersionMax="47" xr10:uidLastSave="{00000000-0000-0000-0000-000000000000}"/>
  <bookViews>
    <workbookView xWindow="28690" yWindow="-110" windowWidth="19420" windowHeight="10300" tabRatio="500" firstSheet="2" activeTab="4" xr2:uid="{00000000-000D-0000-FFFF-FFFF00000000}"/>
  </bookViews>
  <sheets>
    <sheet name="Inputs" sheetId="1" r:id="rId1"/>
    <sheet name="Cost &amp; Marginal Cost" sheetId="2" r:id="rId2"/>
    <sheet name="Optimization" sheetId="3" r:id="rId3"/>
    <sheet name="Results" sheetId="4" r:id="rId4"/>
    <sheet name="Figures" sheetId="6" r:id="rId5"/>
    <sheet name="Checks" sheetId="5" r:id="rId6"/>
  </sheets>
  <definedNames>
    <definedName name="CAR_BEDS">Optimization!$B$7</definedName>
    <definedName name="CAR_DIM">Inputs!$B$14</definedName>
    <definedName name="CAR_FERT">Inputs!$B$12</definedName>
    <definedName name="CAR_HRS">Inputs!$B$11</definedName>
    <definedName name="CAR_MAXBED">Inputs!$B$13</definedName>
    <definedName name="CAR_MAXBED_SHADOW">Results!$B$19</definedName>
    <definedName name="CAR_PRICE">Inputs!$B$10</definedName>
    <definedName name="COST_CAR">Optimization!$B$23</definedName>
    <definedName name="COST_MES">Optimization!$B$24</definedName>
    <definedName name="COST_TOM">Optimization!$B$22</definedName>
    <definedName name="EFFECTIVE_RATE">Optimization!$B$18</definedName>
    <definedName name="FARMER_HRS">Inputs!$B$26</definedName>
    <definedName name="FARMER_PAY">Inputs!$B$27</definedName>
    <definedName name="FARMER_RATE">Inputs!$B$32</definedName>
    <definedName name="FARMER_TOTAL_HRS">Inputs!$B$28</definedName>
    <definedName name="FIXED_COSTS">Inputs!$B$24</definedName>
    <definedName name="LH_CAR">Optimization!$B$13</definedName>
    <definedName name="LH_MES">Optimization!$B$14</definedName>
    <definedName name="LH_TOM">Optimization!$B$12</definedName>
    <definedName name="MES_BEDS">Optimization!$B$8</definedName>
    <definedName name="MES_DIM">Inputs!$B$19</definedName>
    <definedName name="MES_FERT">Inputs!$B$17</definedName>
    <definedName name="MES_HRS">Inputs!$B$16</definedName>
    <definedName name="MES_MAXBED">Inputs!$B$18</definedName>
    <definedName name="MES_MAXBED_SHADOW">Results!$B$20</definedName>
    <definedName name="MES_PRICE">Inputs!$B$15</definedName>
    <definedName name="OPT_CAR_BEDS">Results!$B$6</definedName>
    <definedName name="OPT_CAR_PROFIT">Results!$B$11</definedName>
    <definedName name="OPT_MES_BEDS">Results!$B$7</definedName>
    <definedName name="OPT_MES_PROFIT">Results!$B$12</definedName>
    <definedName name="OPT_TEMP_WORKERS">Results!$B$9</definedName>
    <definedName name="OPT_TOM_BEDS">Results!$B$5</definedName>
    <definedName name="OPT_TOM_PROFIT">Results!$B$10</definedName>
    <definedName name="OPT_TOTAL_BEDS">Results!$B$8</definedName>
    <definedName name="OPT_TOTAL_PROFIT">Results!$B$13</definedName>
    <definedName name="PROFIT_CAR">Optimization!$B$29</definedName>
    <definedName name="PROFIT_MES">Optimization!$B$30</definedName>
    <definedName name="PROFIT_TOM">Optimization!$B$28</definedName>
    <definedName name="REV_CAR">Optimization!$B$26</definedName>
    <definedName name="REV_MES">Optimization!$B$27</definedName>
    <definedName name="REV_TOM">Optimization!$B$25</definedName>
    <definedName name="solver_adj" localSheetId="0" hidden="1">Inputs!$B$6:$B$8</definedName>
    <definedName name="solver_adj" localSheetId="2" hidden="1">Optimization!$B$6:$B$8</definedName>
    <definedName name="solver_cvg" localSheetId="2" hidden="1">0.0001</definedName>
    <definedName name="solver_drv" localSheetId="2" hidden="1">2</definedName>
    <definedName name="solver_eng" localSheetId="0" hidden="1">1</definedName>
    <definedName name="solver_eng" localSheetId="2" hidden="1">1</definedName>
    <definedName name="solver_eng" localSheetId="3" hidden="1">1</definedName>
    <definedName name="solver_est" localSheetId="2" hidden="1">1</definedName>
    <definedName name="solver_itr" localSheetId="2" hidden="1">2147483647</definedName>
    <definedName name="solver_lhs1" localSheetId="0" hidden="1">Inputs!$B$6:$B$8</definedName>
    <definedName name="solver_lhs1" localSheetId="2" hidden="1">Optimization!$B$6:$B$8</definedName>
    <definedName name="solver_lhs2" localSheetId="2" hidden="1">Optimization!$E$4</definedName>
    <definedName name="solver_lhs3" localSheetId="2" hidden="1">Optimization!$B$7</definedName>
    <definedName name="solver_lhs4" localSheetId="2" hidden="1">Optimization!$B$8</definedName>
    <definedName name="solver_lhs5" localSheetId="2" hidden="1">Optimization!$B$6</definedName>
    <definedName name="solver_lhs6" localSheetId="2" hidden="1">Optimization!$B$15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od" localSheetId="2" hidden="1">2147483647</definedName>
    <definedName name="solver_num" localSheetId="0" hidden="1">1</definedName>
    <definedName name="solver_num" localSheetId="2" hidden="1">6</definedName>
    <definedName name="solver_num" localSheetId="3" hidden="1">0</definedName>
    <definedName name="solver_nwt" localSheetId="2" hidden="1">1</definedName>
    <definedName name="solver_opt" localSheetId="0" hidden="1">Inputs!$B$31</definedName>
    <definedName name="solver_opt" localSheetId="2" hidden="1">Optimization!$B$31</definedName>
    <definedName name="solver_opt" localSheetId="3" hidden="1">Results!$G$8</definedName>
    <definedName name="solver_pre" localSheetId="2" hidden="1">0.000001</definedName>
    <definedName name="solver_rbv" localSheetId="2" hidden="1">2</definedName>
    <definedName name="solver_rel1" localSheetId="0" hidden="1">1</definedName>
    <definedName name="solver_rel1" localSheetId="2" hidden="1">4</definedName>
    <definedName name="solver_rel2" localSheetId="2" hidden="1">1</definedName>
    <definedName name="solver_rel3" localSheetId="2" hidden="1">1</definedName>
    <definedName name="solver_rel4" localSheetId="2" hidden="1">1</definedName>
    <definedName name="solver_rel5" localSheetId="2" hidden="1">1</definedName>
    <definedName name="solver_rel6" localSheetId="2" hidden="1">1</definedName>
    <definedName name="solver_rhs1" localSheetId="0" hidden="1">20</definedName>
    <definedName name="solver_rhs1" localSheetId="2" hidden="1">"integer"</definedName>
    <definedName name="solver_rhs2" localSheetId="2" hidden="1">64</definedName>
    <definedName name="solver_rhs3" localSheetId="2" hidden="1">20</definedName>
    <definedName name="solver_rhs4" localSheetId="2" hidden="1">30</definedName>
    <definedName name="solver_rhs5" localSheetId="2" hidden="1">20</definedName>
    <definedName name="solver_rhs6" localSheetId="2" hidden="1">6480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0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2" hidden="1">3</definedName>
    <definedName name="solver_ver" localSheetId="3" hidden="1">3</definedName>
    <definedName name="TEMP_HRS_EACH">Inputs!$B$30</definedName>
    <definedName name="TEMP_MAX">Inputs!$B$29</definedName>
    <definedName name="TEMP_MAX_SHADOW">Results!$B$22</definedName>
    <definedName name="TEMP_PAY_EACH">Inputs!$B$31</definedName>
    <definedName name="TEMP_RATE">Inputs!$B$33</definedName>
    <definedName name="TEMP_WORKERS">Optimization!$B$16</definedName>
    <definedName name="TOM_BEDS">Optimization!$B$6</definedName>
    <definedName name="TOM_DIM">Inputs!$B$9</definedName>
    <definedName name="TOM_FERT">Inputs!$B$7</definedName>
    <definedName name="TOM_HRS">Inputs!$B$6</definedName>
    <definedName name="TOM_MAXBED">Inputs!$B$8</definedName>
    <definedName name="TOM_MAXBED_SHADOW">Results!$B$18</definedName>
    <definedName name="TOM_PRICE">Inputs!$B$5</definedName>
    <definedName name="TOTAL_BED_CAP">Inputs!$B$25</definedName>
    <definedName name="TOTAL_BED_SHADOW">Results!$B$21</definedName>
    <definedName name="TOTAL_LABOR_COST">Optimization!$B$17</definedName>
    <definedName name="TOTAL_LABOR_HRS">Optimization!$B$15</definedName>
    <definedName name="TOTAL_PROFIT">Optimization!$B$31</definedName>
    <definedName name="WEEKS">Inputs!$B$23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" i="6"/>
  <c r="E4" i="3"/>
  <c r="B5" i="5"/>
  <c r="D5" i="5" s="1"/>
  <c r="B8" i="4"/>
  <c r="B7" i="4"/>
  <c r="B6" i="4"/>
  <c r="B5" i="4"/>
  <c r="B23" i="5" s="1"/>
  <c r="B41" i="3"/>
  <c r="B38" i="3"/>
  <c r="B37" i="3"/>
  <c r="B36" i="3"/>
  <c r="B35" i="3"/>
  <c r="B27" i="3"/>
  <c r="B26" i="3"/>
  <c r="B25" i="3"/>
  <c r="B14" i="3"/>
  <c r="B13" i="3"/>
  <c r="B12" i="3"/>
  <c r="R34" i="2"/>
  <c r="J34" i="2"/>
  <c r="B34" i="2"/>
  <c r="R33" i="2"/>
  <c r="J33" i="2"/>
  <c r="B33" i="2"/>
  <c r="R32" i="2"/>
  <c r="J32" i="2"/>
  <c r="B32" i="2"/>
  <c r="R31" i="2"/>
  <c r="J31" i="2"/>
  <c r="B31" i="2"/>
  <c r="R30" i="2"/>
  <c r="J30" i="2"/>
  <c r="B30" i="2"/>
  <c r="R29" i="2"/>
  <c r="J29" i="2"/>
  <c r="B29" i="2"/>
  <c r="R28" i="2"/>
  <c r="J28" i="2"/>
  <c r="B28" i="2"/>
  <c r="R27" i="2"/>
  <c r="J27" i="2"/>
  <c r="B27" i="2"/>
  <c r="R26" i="2"/>
  <c r="J26" i="2"/>
  <c r="B26" i="2"/>
  <c r="R25" i="2"/>
  <c r="J25" i="2"/>
  <c r="B25" i="2"/>
  <c r="R24" i="2"/>
  <c r="J24" i="2"/>
  <c r="B24" i="2"/>
  <c r="R23" i="2"/>
  <c r="J23" i="2"/>
  <c r="B23" i="2"/>
  <c r="R22" i="2"/>
  <c r="J22" i="2"/>
  <c r="B22" i="2"/>
  <c r="R21" i="2"/>
  <c r="J21" i="2"/>
  <c r="B21" i="2"/>
  <c r="R20" i="2"/>
  <c r="J20" i="2"/>
  <c r="B20" i="2"/>
  <c r="R19" i="2"/>
  <c r="J19" i="2"/>
  <c r="B19" i="2"/>
  <c r="R18" i="2"/>
  <c r="J18" i="2"/>
  <c r="B18" i="2"/>
  <c r="R17" i="2"/>
  <c r="J17" i="2"/>
  <c r="B17" i="2"/>
  <c r="R16" i="2"/>
  <c r="J16" i="2"/>
  <c r="B16" i="2"/>
  <c r="R15" i="2"/>
  <c r="J15" i="2"/>
  <c r="B15" i="2"/>
  <c r="R14" i="2"/>
  <c r="J14" i="2"/>
  <c r="B14" i="2"/>
  <c r="R13" i="2"/>
  <c r="J13" i="2"/>
  <c r="B13" i="2"/>
  <c r="R12" i="2"/>
  <c r="J12" i="2"/>
  <c r="B12" i="2"/>
  <c r="R11" i="2"/>
  <c r="J11" i="2"/>
  <c r="B11" i="2"/>
  <c r="R10" i="2"/>
  <c r="J10" i="2"/>
  <c r="B10" i="2"/>
  <c r="R9" i="2"/>
  <c r="J9" i="2"/>
  <c r="B9" i="2"/>
  <c r="R8" i="2"/>
  <c r="J8" i="2"/>
  <c r="B8" i="2"/>
  <c r="R7" i="2"/>
  <c r="J7" i="2"/>
  <c r="B7" i="2"/>
  <c r="R6" i="2"/>
  <c r="J6" i="2"/>
  <c r="B6" i="2"/>
  <c r="R5" i="2"/>
  <c r="J5" i="2"/>
  <c r="B5" i="2"/>
  <c r="B33" i="1"/>
  <c r="B32" i="1"/>
  <c r="B6" i="5" s="1"/>
  <c r="B11" i="1"/>
  <c r="B15" i="3" l="1"/>
  <c r="U34" i="2"/>
  <c r="W34" i="2"/>
  <c r="S34" i="2"/>
  <c r="T34" i="2" s="1"/>
  <c r="V34" i="2" s="1"/>
  <c r="K34" i="2"/>
  <c r="L34" i="2" s="1"/>
  <c r="N34" i="2" s="1"/>
  <c r="O34" i="2"/>
  <c r="M34" i="2"/>
  <c r="C34" i="2"/>
  <c r="D34" i="2" s="1"/>
  <c r="F34" i="2" s="1"/>
  <c r="G34" i="2"/>
  <c r="E34" i="2"/>
  <c r="S33" i="2"/>
  <c r="T33" i="2" s="1"/>
  <c r="U33" i="2"/>
  <c r="W33" i="2"/>
  <c r="K33" i="2"/>
  <c r="L33" i="2" s="1"/>
  <c r="N33" i="2" s="1"/>
  <c r="M33" i="2"/>
  <c r="O33" i="2"/>
  <c r="C33" i="2"/>
  <c r="D33" i="2" s="1"/>
  <c r="F33" i="2" s="1"/>
  <c r="E33" i="2"/>
  <c r="G33" i="2"/>
  <c r="W32" i="2"/>
  <c r="U32" i="2"/>
  <c r="S32" i="2"/>
  <c r="T32" i="2" s="1"/>
  <c r="V32" i="2" s="1"/>
  <c r="O32" i="2"/>
  <c r="M32" i="2"/>
  <c r="K32" i="2"/>
  <c r="L32" i="2" s="1"/>
  <c r="N32" i="2" s="1"/>
  <c r="G32" i="2"/>
  <c r="E32" i="2"/>
  <c r="C32" i="2"/>
  <c r="D32" i="2" s="1"/>
  <c r="F32" i="2" s="1"/>
  <c r="U31" i="2"/>
  <c r="S31" i="2"/>
  <c r="T31" i="2" s="1"/>
  <c r="V31" i="2" s="1"/>
  <c r="W31" i="2"/>
  <c r="O31" i="2"/>
  <c r="M31" i="2"/>
  <c r="K31" i="2"/>
  <c r="L31" i="2" s="1"/>
  <c r="N31" i="2" s="1"/>
  <c r="G31" i="2"/>
  <c r="E31" i="2"/>
  <c r="C31" i="2"/>
  <c r="D31" i="2" s="1"/>
  <c r="F31" i="2" s="1"/>
  <c r="W30" i="2"/>
  <c r="U30" i="2"/>
  <c r="S30" i="2"/>
  <c r="T30" i="2" s="1"/>
  <c r="V30" i="2" s="1"/>
  <c r="O30" i="2"/>
  <c r="M30" i="2"/>
  <c r="K30" i="2"/>
  <c r="L30" i="2" s="1"/>
  <c r="N30" i="2" s="1"/>
  <c r="G30" i="2"/>
  <c r="E30" i="2"/>
  <c r="C30" i="2"/>
  <c r="D30" i="2" s="1"/>
  <c r="F30" i="2" s="1"/>
  <c r="U29" i="2"/>
  <c r="S29" i="2"/>
  <c r="T29" i="2" s="1"/>
  <c r="V29" i="2" s="1"/>
  <c r="W29" i="2"/>
  <c r="O29" i="2"/>
  <c r="M29" i="2"/>
  <c r="K29" i="2"/>
  <c r="L29" i="2" s="1"/>
  <c r="N29" i="2" s="1"/>
  <c r="G29" i="2"/>
  <c r="C29" i="2"/>
  <c r="D29" i="2" s="1"/>
  <c r="F29" i="2" s="1"/>
  <c r="E29" i="2"/>
  <c r="S28" i="2"/>
  <c r="T28" i="2" s="1"/>
  <c r="W28" i="2"/>
  <c r="U28" i="2"/>
  <c r="O28" i="2"/>
  <c r="K28" i="2"/>
  <c r="L28" i="2" s="1"/>
  <c r="N28" i="2" s="1"/>
  <c r="M28" i="2"/>
  <c r="C28" i="2"/>
  <c r="D28" i="2" s="1"/>
  <c r="F28" i="2" s="1"/>
  <c r="G28" i="2"/>
  <c r="E28" i="2"/>
  <c r="S27" i="2"/>
  <c r="T27" i="2" s="1"/>
  <c r="U27" i="2"/>
  <c r="W27" i="2"/>
  <c r="O27" i="2"/>
  <c r="M27" i="2"/>
  <c r="K27" i="2"/>
  <c r="L27" i="2" s="1"/>
  <c r="N27" i="2" s="1"/>
  <c r="G27" i="2"/>
  <c r="E27" i="2"/>
  <c r="C27" i="2"/>
  <c r="D27" i="2" s="1"/>
  <c r="F27" i="2" s="1"/>
  <c r="W26" i="2"/>
  <c r="U26" i="2"/>
  <c r="S26" i="2"/>
  <c r="T26" i="2" s="1"/>
  <c r="V26" i="2" s="1"/>
  <c r="O26" i="2"/>
  <c r="M26" i="2"/>
  <c r="K26" i="2"/>
  <c r="L26" i="2" s="1"/>
  <c r="N26" i="2" s="1"/>
  <c r="C26" i="2"/>
  <c r="D26" i="2" s="1"/>
  <c r="F26" i="2" s="1"/>
  <c r="E26" i="2"/>
  <c r="G26" i="2"/>
  <c r="S25" i="2"/>
  <c r="T25" i="2" s="1"/>
  <c r="U25" i="2"/>
  <c r="W25" i="2"/>
  <c r="K25" i="2"/>
  <c r="L25" i="2" s="1"/>
  <c r="N25" i="2" s="1"/>
  <c r="M25" i="2"/>
  <c r="O25" i="2"/>
  <c r="G25" i="2"/>
  <c r="E25" i="2"/>
  <c r="C25" i="2"/>
  <c r="D25" i="2" s="1"/>
  <c r="F25" i="2" s="1"/>
  <c r="S24" i="2"/>
  <c r="T24" i="2" s="1"/>
  <c r="U24" i="2"/>
  <c r="W24" i="2"/>
  <c r="K24" i="2"/>
  <c r="L24" i="2" s="1"/>
  <c r="M24" i="2"/>
  <c r="O24" i="2"/>
  <c r="C24" i="2"/>
  <c r="D24" i="2" s="1"/>
  <c r="G24" i="2"/>
  <c r="E24" i="2"/>
  <c r="W23" i="2"/>
  <c r="U23" i="2"/>
  <c r="S23" i="2"/>
  <c r="T23" i="2" s="1"/>
  <c r="V23" i="2" s="1"/>
  <c r="K23" i="2"/>
  <c r="L23" i="2" s="1"/>
  <c r="O23" i="2"/>
  <c r="M23" i="2"/>
  <c r="C23" i="2"/>
  <c r="D23" i="2" s="1"/>
  <c r="E23" i="2"/>
  <c r="G23" i="2"/>
  <c r="S22" i="2"/>
  <c r="T22" i="2" s="1"/>
  <c r="U22" i="2"/>
  <c r="W22" i="2"/>
  <c r="K22" i="2"/>
  <c r="L22" i="2" s="1"/>
  <c r="M22" i="2"/>
  <c r="O22" i="2"/>
  <c r="E22" i="2"/>
  <c r="C22" i="2"/>
  <c r="D22" i="2" s="1"/>
  <c r="F22" i="2" s="1"/>
  <c r="G22" i="2"/>
  <c r="W21" i="2"/>
  <c r="U21" i="2"/>
  <c r="S21" i="2"/>
  <c r="T21" i="2" s="1"/>
  <c r="V21" i="2" s="1"/>
  <c r="K21" i="2"/>
  <c r="L21" i="2" s="1"/>
  <c r="O21" i="2"/>
  <c r="M21" i="2"/>
  <c r="C21" i="2"/>
  <c r="D21" i="2" s="1"/>
  <c r="E21" i="2"/>
  <c r="G21" i="2"/>
  <c r="U20" i="2"/>
  <c r="W20" i="2"/>
  <c r="S20" i="2"/>
  <c r="T20" i="2" s="1"/>
  <c r="V20" i="2" s="1"/>
  <c r="K20" i="2"/>
  <c r="L20" i="2" s="1"/>
  <c r="O20" i="2"/>
  <c r="M20" i="2"/>
  <c r="C20" i="2"/>
  <c r="D20" i="2" s="1"/>
  <c r="E20" i="2"/>
  <c r="G20" i="2"/>
  <c r="S19" i="2"/>
  <c r="T19" i="2" s="1"/>
  <c r="U19" i="2"/>
  <c r="W19" i="2"/>
  <c r="K19" i="2"/>
  <c r="L19" i="2" s="1"/>
  <c r="M19" i="2"/>
  <c r="O19" i="2"/>
  <c r="C19" i="2"/>
  <c r="D19" i="2" s="1"/>
  <c r="E19" i="2"/>
  <c r="G19" i="2"/>
  <c r="U18" i="2"/>
  <c r="W18" i="2"/>
  <c r="S18" i="2"/>
  <c r="T18" i="2" s="1"/>
  <c r="V18" i="2" s="1"/>
  <c r="K18" i="2"/>
  <c r="L18" i="2" s="1"/>
  <c r="O18" i="2"/>
  <c r="M18" i="2"/>
  <c r="C18" i="2"/>
  <c r="D18" i="2" s="1"/>
  <c r="E18" i="2"/>
  <c r="G18" i="2"/>
  <c r="S17" i="2"/>
  <c r="T17" i="2" s="1"/>
  <c r="U17" i="2"/>
  <c r="W17" i="2"/>
  <c r="O17" i="2"/>
  <c r="M17" i="2"/>
  <c r="K17" i="2"/>
  <c r="L17" i="2" s="1"/>
  <c r="N17" i="2" s="1"/>
  <c r="G17" i="2"/>
  <c r="E17" i="2"/>
  <c r="C17" i="2"/>
  <c r="D17" i="2" s="1"/>
  <c r="F17" i="2" s="1"/>
  <c r="W16" i="2"/>
  <c r="U16" i="2"/>
  <c r="S16" i="2"/>
  <c r="T16" i="2" s="1"/>
  <c r="V16" i="2" s="1"/>
  <c r="K16" i="2"/>
  <c r="L16" i="2" s="1"/>
  <c r="M16" i="2"/>
  <c r="O16" i="2"/>
  <c r="G16" i="2"/>
  <c r="C16" i="2"/>
  <c r="D16" i="2" s="1"/>
  <c r="E16" i="2"/>
  <c r="S15" i="2"/>
  <c r="T15" i="2" s="1"/>
  <c r="U15" i="2"/>
  <c r="W15" i="2"/>
  <c r="M15" i="2"/>
  <c r="K15" i="2"/>
  <c r="L15" i="2" s="1"/>
  <c r="N15" i="2" s="1"/>
  <c r="O15" i="2"/>
  <c r="G15" i="2"/>
  <c r="E15" i="2"/>
  <c r="C15" i="2"/>
  <c r="D15" i="2" s="1"/>
  <c r="F15" i="2" s="1"/>
  <c r="W14" i="2"/>
  <c r="S14" i="2"/>
  <c r="T14" i="2" s="1"/>
  <c r="U14" i="2"/>
  <c r="M14" i="2"/>
  <c r="O14" i="2"/>
  <c r="K14" i="2"/>
  <c r="L14" i="2" s="1"/>
  <c r="N14" i="2" s="1"/>
  <c r="C14" i="2"/>
  <c r="D14" i="2" s="1"/>
  <c r="E14" i="2"/>
  <c r="G14" i="2"/>
  <c r="S13" i="2"/>
  <c r="T13" i="2" s="1"/>
  <c r="U13" i="2"/>
  <c r="W13" i="2"/>
  <c r="O13" i="2"/>
  <c r="M13" i="2"/>
  <c r="K13" i="2"/>
  <c r="L13" i="2" s="1"/>
  <c r="N13" i="2" s="1"/>
  <c r="C13" i="2"/>
  <c r="D13" i="2" s="1"/>
  <c r="E13" i="2"/>
  <c r="G13" i="2"/>
  <c r="S12" i="2"/>
  <c r="T12" i="2" s="1"/>
  <c r="U12" i="2"/>
  <c r="W12" i="2"/>
  <c r="O12" i="2"/>
  <c r="K12" i="2"/>
  <c r="L12" i="2" s="1"/>
  <c r="M12" i="2"/>
  <c r="G12" i="2"/>
  <c r="C12" i="2"/>
  <c r="D12" i="2" s="1"/>
  <c r="E12" i="2"/>
  <c r="W11" i="2"/>
  <c r="U11" i="2"/>
  <c r="S11" i="2"/>
  <c r="T11" i="2" s="1"/>
  <c r="V11" i="2" s="1"/>
  <c r="O11" i="2"/>
  <c r="M11" i="2"/>
  <c r="K11" i="2"/>
  <c r="L11" i="2" s="1"/>
  <c r="N11" i="2" s="1"/>
  <c r="G11" i="2"/>
  <c r="E11" i="2"/>
  <c r="C11" i="2"/>
  <c r="D11" i="2" s="1"/>
  <c r="F11" i="2" s="1"/>
  <c r="W10" i="2"/>
  <c r="U10" i="2"/>
  <c r="S10" i="2"/>
  <c r="T10" i="2" s="1"/>
  <c r="V10" i="2" s="1"/>
  <c r="O10" i="2"/>
  <c r="M10" i="2"/>
  <c r="K10" i="2"/>
  <c r="L10" i="2" s="1"/>
  <c r="N10" i="2" s="1"/>
  <c r="E10" i="2"/>
  <c r="C10" i="2"/>
  <c r="D10" i="2" s="1"/>
  <c r="F10" i="2" s="1"/>
  <c r="G10" i="2"/>
  <c r="W9" i="2"/>
  <c r="U9" i="2"/>
  <c r="S9" i="2"/>
  <c r="T9" i="2" s="1"/>
  <c r="V9" i="2" s="1"/>
  <c r="K9" i="2"/>
  <c r="L9" i="2" s="1"/>
  <c r="O9" i="2"/>
  <c r="M9" i="2"/>
  <c r="C9" i="2"/>
  <c r="D9" i="2" s="1"/>
  <c r="E9" i="2"/>
  <c r="G9" i="2"/>
  <c r="S8" i="2"/>
  <c r="T8" i="2" s="1"/>
  <c r="U8" i="2"/>
  <c r="W8" i="2"/>
  <c r="K8" i="2"/>
  <c r="L8" i="2" s="1"/>
  <c r="O8" i="2"/>
  <c r="M8" i="2"/>
  <c r="C8" i="2"/>
  <c r="D8" i="2" s="1"/>
  <c r="E8" i="2"/>
  <c r="G8" i="2"/>
  <c r="S7" i="2"/>
  <c r="T7" i="2" s="1"/>
  <c r="U7" i="2"/>
  <c r="W7" i="2"/>
  <c r="K7" i="2"/>
  <c r="L7" i="2" s="1"/>
  <c r="O7" i="2"/>
  <c r="M7" i="2"/>
  <c r="G7" i="2"/>
  <c r="E7" i="2"/>
  <c r="C7" i="2"/>
  <c r="D7" i="2" s="1"/>
  <c r="F7" i="2" s="1"/>
  <c r="W6" i="2"/>
  <c r="U6" i="2"/>
  <c r="S6" i="2"/>
  <c r="T6" i="2" s="1"/>
  <c r="V6" i="2" s="1"/>
  <c r="K6" i="2"/>
  <c r="L6" i="2" s="1"/>
  <c r="M6" i="2"/>
  <c r="O6" i="2"/>
  <c r="C6" i="2"/>
  <c r="D6" i="2" s="1"/>
  <c r="E6" i="2"/>
  <c r="G6" i="2"/>
  <c r="S5" i="2"/>
  <c r="T5" i="2" s="1"/>
  <c r="U5" i="2"/>
  <c r="W5" i="2"/>
  <c r="K5" i="2"/>
  <c r="L5" i="2" s="1"/>
  <c r="O5" i="2"/>
  <c r="M5" i="2"/>
  <c r="E5" i="2"/>
  <c r="G5" i="2"/>
  <c r="C5" i="2"/>
  <c r="D5" i="2" s="1"/>
  <c r="F5" i="2" s="1"/>
  <c r="D6" i="5"/>
  <c r="B7" i="5"/>
  <c r="D7" i="5" s="1"/>
  <c r="B16" i="3" l="1"/>
  <c r="B17" i="3"/>
  <c r="B18" i="3" s="1"/>
  <c r="B40" i="3"/>
  <c r="X34" i="2"/>
  <c r="Y34" i="2"/>
  <c r="P34" i="2"/>
  <c r="Q34" i="2"/>
  <c r="H34" i="2"/>
  <c r="I34" i="2"/>
  <c r="P33" i="2"/>
  <c r="Q33" i="2"/>
  <c r="H33" i="2"/>
  <c r="I33" i="2"/>
  <c r="X32" i="2"/>
  <c r="Y32" i="2"/>
  <c r="P32" i="2"/>
  <c r="Q32" i="2"/>
  <c r="H32" i="2"/>
  <c r="I32" i="2"/>
  <c r="X31" i="2"/>
  <c r="Y31" i="2"/>
  <c r="P31" i="2"/>
  <c r="Q31" i="2"/>
  <c r="H31" i="2"/>
  <c r="I31" i="2"/>
  <c r="X30" i="2"/>
  <c r="Y30" i="2"/>
  <c r="P30" i="2"/>
  <c r="Q30" i="2"/>
  <c r="H30" i="2"/>
  <c r="I30" i="2"/>
  <c r="X29" i="2"/>
  <c r="Y29" i="2"/>
  <c r="P29" i="2"/>
  <c r="Q29" i="2"/>
  <c r="H29" i="2"/>
  <c r="I29" i="2"/>
  <c r="P28" i="2"/>
  <c r="Q28" i="2"/>
  <c r="H28" i="2"/>
  <c r="I28" i="2"/>
  <c r="P27" i="2"/>
  <c r="Q27" i="2"/>
  <c r="H27" i="2"/>
  <c r="I27" i="2"/>
  <c r="X26" i="2"/>
  <c r="Y26" i="2"/>
  <c r="P26" i="2"/>
  <c r="Q26" i="2"/>
  <c r="H26" i="2"/>
  <c r="I26" i="2"/>
  <c r="P25" i="2"/>
  <c r="Q25" i="2"/>
  <c r="H25" i="2"/>
  <c r="I25" i="2"/>
  <c r="X23" i="2"/>
  <c r="H22" i="2"/>
  <c r="X21" i="2"/>
  <c r="Y21" i="2"/>
  <c r="X20" i="2"/>
  <c r="X18" i="2"/>
  <c r="P17" i="2"/>
  <c r="H17" i="2"/>
  <c r="X16" i="2"/>
  <c r="P15" i="2"/>
  <c r="Q15" i="2"/>
  <c r="H15" i="2"/>
  <c r="P14" i="2"/>
  <c r="Q14" i="2"/>
  <c r="P13" i="2"/>
  <c r="X11" i="2"/>
  <c r="Y11" i="2"/>
  <c r="P11" i="2"/>
  <c r="Q11" i="2"/>
  <c r="H11" i="2"/>
  <c r="I11" i="2"/>
  <c r="X10" i="2"/>
  <c r="Y10" i="2"/>
  <c r="P10" i="2"/>
  <c r="H10" i="2"/>
  <c r="X9" i="2"/>
  <c r="H7" i="2"/>
  <c r="X6" i="2"/>
  <c r="H5" i="2"/>
  <c r="B11" i="5" s="1"/>
  <c r="D11" i="5" s="1"/>
  <c r="I5" i="2"/>
  <c r="N23" i="2"/>
  <c r="F23" i="2"/>
  <c r="V22" i="2"/>
  <c r="Y23" i="2" s="1"/>
  <c r="N22" i="2"/>
  <c r="N21" i="2"/>
  <c r="F21" i="2"/>
  <c r="I22" i="2" s="1"/>
  <c r="N20" i="2"/>
  <c r="F20" i="2"/>
  <c r="V19" i="2"/>
  <c r="Y20" i="2" s="1"/>
  <c r="N19" i="2"/>
  <c r="F19" i="2"/>
  <c r="N18" i="2"/>
  <c r="F18" i="2"/>
  <c r="V17" i="2"/>
  <c r="Y18" i="2" s="1"/>
  <c r="N16" i="2"/>
  <c r="Q17" i="2" s="1"/>
  <c r="F16" i="2"/>
  <c r="I17" i="2" s="1"/>
  <c r="V15" i="2"/>
  <c r="Y16" i="2" s="1"/>
  <c r="V14" i="2"/>
  <c r="F14" i="2"/>
  <c r="I15" i="2" s="1"/>
  <c r="V13" i="2"/>
  <c r="F13" i="2"/>
  <c r="V12" i="2"/>
  <c r="N12" i="2"/>
  <c r="Q13" i="2" s="1"/>
  <c r="F12" i="2"/>
  <c r="N9" i="2"/>
  <c r="Q10" i="2" s="1"/>
  <c r="F9" i="2"/>
  <c r="I10" i="2" s="1"/>
  <c r="V8" i="2"/>
  <c r="Y9" i="2" s="1"/>
  <c r="N8" i="2"/>
  <c r="F8" i="2"/>
  <c r="V7" i="2"/>
  <c r="N7" i="2"/>
  <c r="N6" i="2"/>
  <c r="F6" i="2"/>
  <c r="I7" i="2" s="1"/>
  <c r="V5" i="2"/>
  <c r="Y6" i="2" s="1"/>
  <c r="N5" i="2"/>
  <c r="V33" i="2"/>
  <c r="V28" i="2"/>
  <c r="V27" i="2"/>
  <c r="V25" i="2"/>
  <c r="V24" i="2"/>
  <c r="N24" i="2"/>
  <c r="F24" i="2"/>
  <c r="B39" i="3" l="1"/>
  <c r="B9" i="4"/>
  <c r="B22" i="3"/>
  <c r="B28" i="3" s="1"/>
  <c r="B23" i="3"/>
  <c r="B29" i="3" s="1"/>
  <c r="B11" i="4" s="1"/>
  <c r="B24" i="3"/>
  <c r="B30" i="3" s="1"/>
  <c r="B12" i="4" s="1"/>
  <c r="Q23" i="2"/>
  <c r="P23" i="2"/>
  <c r="I23" i="2"/>
  <c r="H23" i="2"/>
  <c r="Y22" i="2"/>
  <c r="X22" i="2"/>
  <c r="Q22" i="2"/>
  <c r="P22" i="2"/>
  <c r="Q21" i="2"/>
  <c r="P21" i="2"/>
  <c r="I21" i="2"/>
  <c r="H21" i="2"/>
  <c r="Q20" i="2"/>
  <c r="P20" i="2"/>
  <c r="I20" i="2"/>
  <c r="H20" i="2"/>
  <c r="Y19" i="2"/>
  <c r="X19" i="2"/>
  <c r="Q19" i="2"/>
  <c r="P19" i="2"/>
  <c r="I19" i="2"/>
  <c r="H19" i="2"/>
  <c r="Q18" i="2"/>
  <c r="P18" i="2"/>
  <c r="I18" i="2"/>
  <c r="H18" i="2"/>
  <c r="Y17" i="2"/>
  <c r="X17" i="2"/>
  <c r="Q16" i="2"/>
  <c r="P16" i="2"/>
  <c r="I16" i="2"/>
  <c r="H16" i="2"/>
  <c r="Y15" i="2"/>
  <c r="X15" i="2"/>
  <c r="Y14" i="2"/>
  <c r="X14" i="2"/>
  <c r="I14" i="2"/>
  <c r="H14" i="2"/>
  <c r="Y13" i="2"/>
  <c r="X13" i="2"/>
  <c r="I13" i="2"/>
  <c r="H13" i="2"/>
  <c r="Y12" i="2"/>
  <c r="X12" i="2"/>
  <c r="Q12" i="2"/>
  <c r="P12" i="2"/>
  <c r="I12" i="2"/>
  <c r="H12" i="2"/>
  <c r="Q9" i="2"/>
  <c r="P9" i="2"/>
  <c r="I9" i="2"/>
  <c r="H9" i="2"/>
  <c r="Y8" i="2"/>
  <c r="X8" i="2"/>
  <c r="Q8" i="2"/>
  <c r="P8" i="2"/>
  <c r="I8" i="2"/>
  <c r="H8" i="2"/>
  <c r="Y7" i="2"/>
  <c r="X7" i="2"/>
  <c r="Q7" i="2"/>
  <c r="P7" i="2"/>
  <c r="Q6" i="2"/>
  <c r="P6" i="2"/>
  <c r="I6" i="2"/>
  <c r="H6" i="2"/>
  <c r="Y5" i="2"/>
  <c r="X5" i="2"/>
  <c r="B13" i="5" s="1"/>
  <c r="D13" i="5" s="1"/>
  <c r="Q5" i="2"/>
  <c r="P5" i="2"/>
  <c r="B12" i="5" s="1"/>
  <c r="D12" i="5" s="1"/>
  <c r="Y33" i="2"/>
  <c r="X33" i="2"/>
  <c r="Y28" i="2"/>
  <c r="X28" i="2"/>
  <c r="Y27" i="2"/>
  <c r="X27" i="2"/>
  <c r="Y25" i="2"/>
  <c r="X25" i="2"/>
  <c r="Y24" i="2"/>
  <c r="X24" i="2"/>
  <c r="Q24" i="2"/>
  <c r="P24" i="2"/>
  <c r="I24" i="2"/>
  <c r="H24" i="2"/>
  <c r="B31" i="3" l="1"/>
  <c r="B13" i="4" s="1"/>
  <c r="B24" i="5" s="1"/>
  <c r="B10" i="4"/>
</calcChain>
</file>

<file path=xl/sharedStrings.xml><?xml version="1.0" encoding="utf-8"?>
<sst xmlns="http://schemas.openxmlformats.org/spreadsheetml/2006/main" count="277" uniqueCount="197">
  <si>
    <t>Inputs — the named contract</t>
  </si>
  <si>
    <t>Crop parameters</t>
  </si>
  <si>
    <t>Name</t>
  </si>
  <si>
    <t>Value</t>
  </si>
  <si>
    <t>Unit</t>
  </si>
  <si>
    <t>Source</t>
  </si>
  <si>
    <t>TOM_PRICE</t>
  </si>
  <si>
    <t>USD per bed</t>
  </si>
  <si>
    <t>Case scenario, crop table</t>
  </si>
  <si>
    <t>TOM_HRS</t>
  </si>
  <si>
    <t>hours per week per bed</t>
  </si>
  <si>
    <t>TOM_FERT</t>
  </si>
  <si>
    <t>TOM_MAXBED</t>
  </si>
  <si>
    <t>beds</t>
  </si>
  <si>
    <t>TOM_DIM</t>
  </si>
  <si>
    <t>% per bed (diminishing returns)</t>
  </si>
  <si>
    <t>CAR_PRICE</t>
  </si>
  <si>
    <t>CAR_HRS</t>
  </si>
  <si>
    <t>Case scenario, crop table — exact fraction (5/6), not rounded 0.833</t>
  </si>
  <si>
    <t>CAR_FERT</t>
  </si>
  <si>
    <t>CAR_MAXBED</t>
  </si>
  <si>
    <t>CAR_DIM</t>
  </si>
  <si>
    <t>MES_PRICE</t>
  </si>
  <si>
    <t>MES_HRS</t>
  </si>
  <si>
    <t>MES_FERT</t>
  </si>
  <si>
    <t>MES_MAXBED</t>
  </si>
  <si>
    <t>MES_DIM</t>
  </si>
  <si>
    <t>Farm-level parameters</t>
  </si>
  <si>
    <t>WEEKS</t>
  </si>
  <si>
    <t>weeks</t>
  </si>
  <si>
    <t>Case scenario, farm parameters</t>
  </si>
  <si>
    <t>FIXED_COSTS</t>
  </si>
  <si>
    <t>USD per season</t>
  </si>
  <si>
    <t>TOTAL_BED_CAP</t>
  </si>
  <si>
    <t>FARMER_HRS</t>
  </si>
  <si>
    <t>hours per season</t>
  </si>
  <si>
    <t>Case scenario, farm parameters. Her true field/crop-labor capacity — the other 720 hrs of her 1,440-hour season go to admin/accounting, outside this model.</t>
  </si>
  <si>
    <t>FARMER_PAY</t>
  </si>
  <si>
    <t>FARMER_TOTAL_HRS</t>
  </si>
  <si>
    <t>Case scenario — her full committed season (720 field + 720 admin)</t>
  </si>
  <si>
    <t>TEMP_MAX</t>
  </si>
  <si>
    <t>workers</t>
  </si>
  <si>
    <t>TEMP_HRS_EACH</t>
  </si>
  <si>
    <t>hours per worker per season</t>
  </si>
  <si>
    <t>TEMP_PAY_EACH</t>
  </si>
  <si>
    <t>USD per worker per season</t>
  </si>
  <si>
    <t>FARMER_RATE</t>
  </si>
  <si>
    <t>USD per hour</t>
  </si>
  <si>
    <t>Derived: FARMER_PAY / FARMER_TOTAL_HRS. Operative rate applied to the first FARMER_HRS hours of TOTAL_LABOR_HRS. Derived, not typed.</t>
  </si>
  <si>
    <t>TEMP_RATE</t>
  </si>
  <si>
    <t>Derived: TEMP_PAY_EACH / TEMP_HRS_EACH. Operative rate applied to labor hours beyond FARMER_HRS. Derived, not typed.</t>
  </si>
  <si>
    <t>Cost &amp; Marginal Cost — standalone per-crop schedules (other two crops held at 0)</t>
  </si>
  <si>
    <t>Tomatoes</t>
  </si>
  <si>
    <t>Carrots</t>
  </si>
  <si>
    <t>Mesclun</t>
  </si>
  <si>
    <t>q</t>
  </si>
  <si>
    <t>Labor hrs</t>
  </si>
  <si>
    <t>Labor cost</t>
  </si>
  <si>
    <t>Fert cost</t>
  </si>
  <si>
    <t>Total cost</t>
  </si>
  <si>
    <t>Revenue</t>
  </si>
  <si>
    <t>Profit</t>
  </si>
  <si>
    <t>MC</t>
  </si>
  <si>
    <t>Optimization — Solver setup</t>
  </si>
  <si>
    <t>Solver: GRG Nonlinear • Objective: maximize TOTAL_PROFIT • Changing cells: TOM_BEDS, CAR_BEDS, MES_BEDS (integer)</t>
  </si>
  <si>
    <t>Decision variables (Solver changing cells)</t>
  </si>
  <si>
    <t>Notes</t>
  </si>
  <si>
    <t>TOM_BEDS</t>
  </si>
  <si>
    <t>Set by Solver. Integer, 0 ≤ value ≤ TOM_MAXBED.</t>
  </si>
  <si>
    <t>CAR_BEDS</t>
  </si>
  <si>
    <t>Set by Solver. Integer, 0 ≤ value ≤ CAR_MAXBED.</t>
  </si>
  <si>
    <t>MES_BEDS</t>
  </si>
  <si>
    <t>Set by Solver. Integer, 0 ≤ value ≤ MES_MAXBED.</t>
  </si>
  <si>
    <t>Labor</t>
  </si>
  <si>
    <t>LH_TOM</t>
  </si>
  <si>
    <t>LABOR_HRS(TOM, TOM_BEDS)</t>
  </si>
  <si>
    <t>LH_CAR</t>
  </si>
  <si>
    <t>LABOR_HRS(CAR, CAR_BEDS)</t>
  </si>
  <si>
    <t>LH_MES</t>
  </si>
  <si>
    <t>LABOR_HRS(MES, MES_BEDS)</t>
  </si>
  <si>
    <t>TOTAL_LABOR_HRS</t>
  </si>
  <si>
    <t>Sum of all three crops' labor hours at the current bed counts</t>
  </si>
  <si>
    <t>TEMP_WORKERS</t>
  </si>
  <si>
    <t>Derived headcount — reporting only, not used to price labor. Must be ≤ TEMP_MAX.</t>
  </si>
  <si>
    <t>TOTAL_LABOR_COST</t>
  </si>
  <si>
    <t>Two fixed tiers: FARMER_RATE for first FARMER_HRS, TEMP_RATE beyond that</t>
  </si>
  <si>
    <t>EFFECTIVE_RATE</t>
  </si>
  <si>
    <t>Allocation rate for per-crop profit reporting only; collapses to the tiered formula when only one crop is nonzero</t>
  </si>
  <si>
    <t>COST_TOM</t>
  </si>
  <si>
    <t>CROP_COST(TOM, TOM_BEDS)</t>
  </si>
  <si>
    <t>COST_CAR</t>
  </si>
  <si>
    <t>CROP_COST(CAR, CAR_BEDS)</t>
  </si>
  <si>
    <t>COST_MES</t>
  </si>
  <si>
    <t>CROP_COST(MES, MES_BEDS)</t>
  </si>
  <si>
    <t>REV_TOM</t>
  </si>
  <si>
    <t>CROP_REV(TOM, TOM_BEDS)</t>
  </si>
  <si>
    <t>REV_CAR</t>
  </si>
  <si>
    <t>CROP_REV(CAR, CAR_BEDS)</t>
  </si>
  <si>
    <t>REV_MES</t>
  </si>
  <si>
    <t>CROP_REV(MES, MES_BEDS)</t>
  </si>
  <si>
    <t>PROFIT_TOM</t>
  </si>
  <si>
    <t>CROP_PROFIT(TOM, TOM_BEDS)</t>
  </si>
  <si>
    <t>PROFIT_CAR</t>
  </si>
  <si>
    <t>CROP_PROFIT(CAR, CAR_BEDS)</t>
  </si>
  <si>
    <t>PROFIT_MES</t>
  </si>
  <si>
    <t>CROP_PROFIT(MES, MES_BEDS)</t>
  </si>
  <si>
    <t>TOTAL_PROFIT</t>
  </si>
  <si>
    <t>Season profit: sum of crop profits minus fixed costs</t>
  </si>
  <si>
    <t>Constraint checks</t>
  </si>
  <si>
    <t>Constraint</t>
  </si>
  <si>
    <t>Satisfied?</t>
  </si>
  <si>
    <t>Detail</t>
  </si>
  <si>
    <t>TOM_BEDS ≤ TOM_MAXBED</t>
  </si>
  <si>
    <t>Per-crop bed cap</t>
  </si>
  <si>
    <t>CAR_BEDS ≤ CAR_MAXBED</t>
  </si>
  <si>
    <t>MES_BEDS ≤ MES_MAXBED</t>
  </si>
  <si>
    <t>TOTAL beds ≤ TOTAL_BED_CAP</t>
  </si>
  <si>
    <t>64-bed farm-wide cap</t>
  </si>
  <si>
    <t>TEMP_WORKERS ≤ TEMP_MAX</t>
  </si>
  <si>
    <t>≤4 temp workers</t>
  </si>
  <si>
    <t>TOTAL_LABOR_HRS ≤ 6,480</t>
  </si>
  <si>
    <t>Explicit hour cap: FARMER_HRS + TEMP_MAX×TEMP_HRS_EACH = 720+4×1,440 = 6,480</t>
  </si>
  <si>
    <t>Bed counts are integers</t>
  </si>
  <si>
    <t>TOM_BEDS, CAR_BEDS, MES_BEDS must be non-negative integers</t>
  </si>
  <si>
    <t>Results</t>
  </si>
  <si>
    <t>All values below are live links to the Optimization sheet, evaluated at whatever bed counts Solver has currently set.</t>
  </si>
  <si>
    <t>Description</t>
  </si>
  <si>
    <t>OPT_TOM_BEDS</t>
  </si>
  <si>
    <t>Optimal tomato bed count</t>
  </si>
  <si>
    <t>OPT_CAR_BEDS</t>
  </si>
  <si>
    <t>Optimal carrot bed count</t>
  </si>
  <si>
    <t>OPT_MES_BEDS</t>
  </si>
  <si>
    <t>Optimal mesclun bed count</t>
  </si>
  <si>
    <t>OPT_TOTAL_BEDS</t>
  </si>
  <si>
    <t>Sum of the three (must be ≤ TOTAL_BED_CAP)</t>
  </si>
  <si>
    <t>OPT_TEMP_WORKERS</t>
  </si>
  <si>
    <t>Temp workers derived from the optimal mix</t>
  </si>
  <si>
    <t>OPT_TOM_PROFIT</t>
  </si>
  <si>
    <t>Tomato profit at the optimal bed count</t>
  </si>
  <si>
    <t>OPT_CAR_PROFIT</t>
  </si>
  <si>
    <t>Carrot profit at the optimal bed count</t>
  </si>
  <si>
    <t>OPT_MES_PROFIT</t>
  </si>
  <si>
    <t>Mesclun profit at the optimal bed count</t>
  </si>
  <si>
    <t>OPT_TOTAL_PROFIT</t>
  </si>
  <si>
    <t>Season profit (sum of crop profits − FIXED_COSTS)</t>
  </si>
  <si>
    <t>Shadow prices (binding constraints only)</t>
  </si>
  <si>
    <t>Computed by re-solving with the named cap relaxed by 1 bed/worker and differencing TOTAL_PROFIT. Recorded manually after each Solver run below (see Checks sheet) — shadow prices are not live formulas since they require re-optimizing, which Solver does not expose as a worksheet function.</t>
  </si>
  <si>
    <t>TOM_MAXBED_SHADOW</t>
  </si>
  <si>
    <t>Shadow price of relaxing the tomato bed cap by 1 (if binding)</t>
  </si>
  <si>
    <t>CAR_MAXBED_SHADOW</t>
  </si>
  <si>
    <t>Shadow price of relaxing the carrot bed cap by 1 (if binding)</t>
  </si>
  <si>
    <t>MES_MAXBED_SHADOW</t>
  </si>
  <si>
    <t>Shadow price of relaxing the mesclun bed cap by 1 (if binding)</t>
  </si>
  <si>
    <t>TOTAL_BED_SHADOW</t>
  </si>
  <si>
    <t>Shadow price of relaxing the 64-bed total cap by 1 (if binding)</t>
  </si>
  <si>
    <t>TEMP_MAX_SHADOW</t>
  </si>
  <si>
    <t>Shadow price of relaxing the 4-worker cap by 1 (if binding)</t>
  </si>
  <si>
    <t>Checks — validation against spec.md</t>
  </si>
  <si>
    <t>1. Hand calculation (q = 1, tomatoes)</t>
  </si>
  <si>
    <t>Metric</t>
  </si>
  <si>
    <t>Formula result</t>
  </si>
  <si>
    <t>Hand calc</t>
  </si>
  <si>
    <t>Match?</t>
  </si>
  <si>
    <t>LABOR_HRS(TOM,1)</t>
  </si>
  <si>
    <t>CROP_COST(TOM,1)</t>
  </si>
  <si>
    <t>CROP_PROFIT(TOM,1)</t>
  </si>
  <si>
    <t>2. Cross-check vs. Farm Profit Lab (q=1 marginal profit, all crops)</t>
  </si>
  <si>
    <t>Crop</t>
  </si>
  <si>
    <t>Model result</t>
  </si>
  <si>
    <t>Farm Profit Lab</t>
  </si>
  <si>
    <t>3. Solver robustness — two starting points</t>
  </si>
  <si>
    <t>Start point</t>
  </si>
  <si>
    <t>TOM/CAR/MES result</t>
  </si>
  <si>
    <t>0 / 0 / 0</t>
  </si>
  <si>
    <t>20 / 0 / 0</t>
  </si>
  <si>
    <t>Fill in B/C/D for both rows after running Solver from each starting point (Data &gt; Solver, set start values on the Optimization sheet, Solve, record result, repeat).</t>
  </si>
  <si>
    <t>4. Acceptance criteria — published check figures</t>
  </si>
  <si>
    <t>Expected</t>
  </si>
  <si>
    <t>Tolerance</t>
  </si>
  <si>
    <t>Optimal mix (TOM/CAR/MES)</t>
  </si>
  <si>
    <t>10/20/30</t>
  </si>
  <si>
    <t>Exact — integers</t>
  </si>
  <si>
    <t>Season profit</t>
  </si>
  <si>
    <t>$42,762</t>
  </si>
  <si>
    <t>within $10</t>
  </si>
  <si>
    <t>5. Structural checks</t>
  </si>
  <si>
    <t>• Every calculated cell above is a live formula (spot-checked: none are pasted values).</t>
  </si>
  <si>
    <t>• No formula-error cells present anywhere in the workbook (confirmed via recalculation pass — see build log).</t>
  </si>
  <si>
    <t>• All 7 constraint-check cells on the Optimization sheet read OK once Solver has run.</t>
  </si>
  <si>
    <t>Solver found a solution, all constraints satisfied</t>
  </si>
  <si>
    <t>Solver found a solution; all constraints satisfied. Same result as Run 1 — no path-dependence detected; this optimum appears to be the true global maximum, not a local one Solver got stuck near.</t>
  </si>
  <si>
    <t>'10/20/30</t>
  </si>
  <si>
    <t>Beds</t>
  </si>
  <si>
    <t>Tomato MC</t>
  </si>
  <si>
    <t>Tomato price</t>
  </si>
  <si>
    <t>Carrot MC</t>
  </si>
  <si>
    <t>Carrot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</si>
</sst>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\$#,##0"/>
    <numFmt numFmtId="165" formatCode="0.0000"/>
    <numFmt numFmtId="166" formatCode="\$#,##0.0000"/>
    <numFmt numFmtId="167" formatCode="\$#,##0.00"/>
    <numFmt numFmtId="168" formatCode="#,##0.000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i/>
      <sz val="11"/>
      <name val="Arial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164" fontId="5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165" fontId="5" fillId="0" borderId="1" xfId="0" applyNumberFormat="1" applyFont="1" applyBorder="1"/>
    <xf numFmtId="1" fontId="5" fillId="0" borderId="1" xfId="0" applyNumberFormat="1" applyFont="1" applyBorder="1"/>
    <xf numFmtId="10" fontId="5" fillId="0" borderId="1" xfId="0" applyNumberFormat="1" applyFont="1" applyBorder="1"/>
    <xf numFmtId="165" fontId="6" fillId="0" borderId="1" xfId="0" applyNumberFormat="1" applyFont="1" applyBorder="1"/>
    <xf numFmtId="166" fontId="7" fillId="0" borderId="1" xfId="0" applyNumberFormat="1" applyFont="1" applyBorder="1"/>
    <xf numFmtId="1" fontId="6" fillId="0" borderId="1" xfId="0" applyNumberFormat="1" applyFont="1" applyBorder="1"/>
    <xf numFmtId="4" fontId="6" fillId="0" borderId="1" xfId="0" applyNumberFormat="1" applyFont="1" applyBorder="1"/>
    <xf numFmtId="167" fontId="6" fillId="0" borderId="1" xfId="0" applyNumberFormat="1" applyFont="1" applyBorder="1"/>
    <xf numFmtId="164" fontId="6" fillId="0" borderId="1" xfId="0" applyNumberFormat="1" applyFont="1" applyBorder="1"/>
    <xf numFmtId="0" fontId="8" fillId="0" borderId="0" xfId="0" applyFont="1"/>
    <xf numFmtId="0" fontId="0" fillId="0" borderId="1" xfId="0" applyBorder="1" applyAlignment="1">
      <alignment wrapText="1"/>
    </xf>
    <xf numFmtId="166" fontId="6" fillId="0" borderId="1" xfId="0" applyNumberFormat="1" applyFont="1" applyBorder="1"/>
    <xf numFmtId="0" fontId="6" fillId="0" borderId="1" xfId="0" applyFont="1" applyBorder="1"/>
    <xf numFmtId="1" fontId="7" fillId="0" borderId="1" xfId="0" applyNumberFormat="1" applyFont="1" applyBorder="1"/>
    <xf numFmtId="167" fontId="7" fillId="0" borderId="1" xfId="0" applyNumberFormat="1" applyFont="1" applyBorder="1"/>
    <xf numFmtId="167" fontId="5" fillId="0" borderId="1" xfId="0" applyNumberFormat="1" applyFont="1" applyBorder="1"/>
    <xf numFmtId="168" fontId="6" fillId="0" borderId="1" xfId="0" applyNumberFormat="1" applyFont="1" applyBorder="1"/>
    <xf numFmtId="0" fontId="5" fillId="0" borderId="1" xfId="0" applyFont="1" applyBorder="1"/>
    <xf numFmtId="2" fontId="0" fillId="0" borderId="0" xfId="0" applyNumberFormat="1"/>
    <xf numFmtId="2" fontId="0" fillId="0" borderId="1" xfId="0" applyNumberFormat="1" applyBorder="1"/>
    <xf numFmtId="2" fontId="0" fillId="0" borderId="1" xfId="0" quotePrefix="1" applyNumberFormat="1" applyBorder="1"/>
    <xf numFmtId="44" fontId="0" fillId="0" borderId="0" xfId="1" applyFon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Tomato marginal cost vs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Figures!$B$1</c:f>
              <c:strCache>
                <c:ptCount val="1"/>
                <c:pt idx="0">
                  <c:v>Tomato MC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Figures!$B$2:$B$21</c:f>
              <c:numCache>
                <c:formatCode>_("$"* #,##0.00_);_("$"* \(#,##0.00\);_("$"* "-"??_);_(@_)</c:formatCode>
                <c:ptCount val="20"/>
                <c:pt idx="0">
                  <c:v>4317.5</c:v>
                </c:pt>
                <c:pt idx="1">
                  <c:v>5005</c:v>
                </c:pt>
                <c:pt idx="2">
                  <c:v>5795.6250000000036</c:v>
                </c:pt>
                <c:pt idx="3">
                  <c:v>6703.125</c:v>
                </c:pt>
                <c:pt idx="4">
                  <c:v>7660.859375</c:v>
                </c:pt>
                <c:pt idx="5">
                  <c:v>4906.2750000000051</c:v>
                </c:pt>
                <c:pt idx="6">
                  <c:v>5585.7089062500017</c:v>
                </c:pt>
                <c:pt idx="7">
                  <c:v>6360.7668437500033</c:v>
                </c:pt>
                <c:pt idx="8">
                  <c:v>7243.7792796875074</c:v>
                </c:pt>
                <c:pt idx="9">
                  <c:v>8248.586534375012</c:v>
                </c:pt>
                <c:pt idx="10">
                  <c:v>9390.7174472031256</c:v>
                </c:pt>
                <c:pt idx="11">
                  <c:v>10687.588677253138</c:v>
                </c:pt>
                <c:pt idx="12">
                  <c:v>12158.726978841107</c:v>
                </c:pt>
                <c:pt idx="13">
                  <c:v>13826.017053974152</c:v>
                </c:pt>
                <c:pt idx="14">
                  <c:v>15713.977874345364</c:v>
                </c:pt>
                <c:pt idx="15">
                  <c:v>17850.070688251115</c:v>
                </c:pt>
                <c:pt idx="16">
                  <c:v>20265.042286194512</c:v>
                </c:pt>
                <c:pt idx="17">
                  <c:v>22993.307496844121</c:v>
                </c:pt>
                <c:pt idx="18">
                  <c:v>26073.375326761772</c:v>
                </c:pt>
                <c:pt idx="19">
                  <c:v>29548.323647694342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3-434F-9DCD-B6C07349197E}"/>
            </c:ext>
          </c:extLst>
        </c:ser>
        <c:ser>
          <c:idx val="1"/>
          <c:order val="1"/>
          <c:tx>
            <c:strRef>
              <c:f>Figures!$C$1</c:f>
              <c:strCache>
                <c:ptCount val="1"/>
                <c:pt idx="0">
                  <c:v>Tomato 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Figures!$A$2:$A$21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Figures!$C$2:$C$21</c:f>
              <c:numCache>
                <c:formatCode>General</c:formatCode>
                <c:ptCount val="20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A3-434F-9DCD-B6C073491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372751"/>
        <c:axId val="1506675311"/>
      </c:scatterChart>
      <c:valAx>
        <c:axId val="181037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Beds</a:t>
                </a:r>
                <a:r>
                  <a:rPr lang="en-US" baseline="0"/>
                  <a:t> planted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675311"/>
        <c:crosses val="autoZero"/>
        <c:crossBetween val="midCat"/>
      </c:valAx>
      <c:valAx>
        <c:axId val="150667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Dollars</a:t>
                </a:r>
                <a:r>
                  <a:rPr lang="en-US" baseline="0"/>
                  <a:t> per bed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372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Carrot marginal cost vs</a:t>
            </a:r>
            <a:r>
              <a:rPr lang="en-US" baseline="0"/>
              <a:t>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Figures!$E$1</c:f>
              <c:strCache>
                <c:ptCount val="1"/>
                <c:pt idx="0">
                  <c:v>Carrot MC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Figures!$D$2:$D$21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Figures!$E$2:$E$21</c:f>
              <c:numCache>
                <c:formatCode>_("$"* #,##0.00_);_("$"* \(#,##0.00\);_("$"* "-"??_);_(@_)</c:formatCode>
                <c:ptCount val="20"/>
                <c:pt idx="0">
                  <c:v>1507.7083333333333</c:v>
                </c:pt>
                <c:pt idx="1">
                  <c:v>1561.0937499999998</c:v>
                </c:pt>
                <c:pt idx="2">
                  <c:v>1616.481119791667</c:v>
                </c:pt>
                <c:pt idx="3">
                  <c:v>1673.9371744791652</c:v>
                </c:pt>
                <c:pt idx="4">
                  <c:v>1733.530731201171</c:v>
                </c:pt>
                <c:pt idx="5">
                  <c:v>1795.332755025227</c:v>
                </c:pt>
                <c:pt idx="6">
                  <c:v>1859.4164233334868</c:v>
                </c:pt>
                <c:pt idx="7">
                  <c:v>1925.8571920852646</c:v>
                </c:pt>
                <c:pt idx="8">
                  <c:v>1994.7328640100477</c:v>
                </c:pt>
                <c:pt idx="9">
                  <c:v>2066.1236587860258</c:v>
                </c:pt>
                <c:pt idx="10">
                  <c:v>2140.1122852607878</c:v>
                </c:pt>
                <c:pt idx="11">
                  <c:v>2216.7840157725441</c:v>
                </c:pt>
                <c:pt idx="12">
                  <c:v>2296.2267626316061</c:v>
                </c:pt>
                <c:pt idx="13">
                  <c:v>2378.5311568237667</c:v>
                </c:pt>
                <c:pt idx="14">
                  <c:v>2463.7906289988823</c:v>
                </c:pt>
                <c:pt idx="15">
                  <c:v>2552.1014928097429</c:v>
                </c:pt>
                <c:pt idx="16">
                  <c:v>1670.9013431626554</c:v>
                </c:pt>
                <c:pt idx="17">
                  <c:v>1589.1387909931072</c:v>
                </c:pt>
                <c:pt idx="18">
                  <c:v>1638.1753169880685</c:v>
                </c:pt>
                <c:pt idx="19">
                  <c:v>1688.9454575384007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1F-44F4-8D48-54C35125A68C}"/>
            </c:ext>
          </c:extLst>
        </c:ser>
        <c:ser>
          <c:idx val="1"/>
          <c:order val="1"/>
          <c:tx>
            <c:strRef>
              <c:f>Figures!$F$1</c:f>
              <c:strCache>
                <c:ptCount val="1"/>
                <c:pt idx="0">
                  <c:v>Carrot 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Figures!$D$2:$D$21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Figures!$F$2:$F$21</c:f>
              <c:numCache>
                <c:formatCode>General</c:formatCode>
                <c:ptCount val="20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1F-44F4-8D48-54C35125A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906048"/>
        <c:axId val="920895312"/>
      </c:scatterChart>
      <c:valAx>
        <c:axId val="101290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Beds</a:t>
                </a:r>
                <a:r>
                  <a:rPr lang="en-US" baseline="0"/>
                  <a:t> Planted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895312"/>
        <c:crosses val="autoZero"/>
        <c:crossBetween val="midCat"/>
      </c:valAx>
      <c:valAx>
        <c:axId val="92089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dollars per bed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0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41775</xdr:colOff>
      <xdr:row>1</xdr:row>
      <xdr:rowOff>117222</xdr:rowOff>
    </xdr:from>
    <xdr:to>
      <xdr:col>14</xdr:col>
      <xdr:colOff>379161</xdr:colOff>
      <xdr:row>20</xdr:row>
      <xdr:rowOff>142039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3E75D-E9EF-F7BD-1230-23D1309D7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509671</xdr:colOff>
      <xdr:row>1</xdr:row>
      <xdr:rowOff>70017</xdr:rowOff>
    </xdr:from>
    <xdr:to>
      <xdr:col>21</xdr:col>
      <xdr:colOff>620713</xdr:colOff>
      <xdr:row>20</xdr:row>
      <xdr:rowOff>108618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BD08A7-B636-A179-2AED-07CE8257A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topLeftCell="A7" zoomScaleNormal="100" workbookViewId="0">
      <selection activeCell="B14" sqref="B14"/>
    </sheetView>
  </sheetViews>
  <sheetFormatPr defaultColWidth="8.6640625" defaultRowHeight="14.25" x14ac:dyDescent="0.45"/>
  <cols>
    <col min="1" max="2" width="16" customWidth="1"/>
    <col min="3" max="3" width="26" customWidth="1"/>
    <col min="4" max="4" width="55" customWidth="1"/>
    <col min="5" max="5" width="4" customWidth="1"/>
  </cols>
  <sheetData>
    <row r="1" spans="1:4" ht="17.649999999999999" x14ac:dyDescent="0.5">
      <c r="A1" s="1" t="s">
        <v>0</v>
      </c>
    </row>
    <row r="3" spans="1:4" ht="15.4" x14ac:dyDescent="0.45">
      <c r="A3" s="2" t="s">
        <v>1</v>
      </c>
    </row>
    <row r="4" spans="1:4" x14ac:dyDescent="0.4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45">
      <c r="A5" s="4" t="s">
        <v>6</v>
      </c>
      <c r="B5" s="5">
        <v>8800</v>
      </c>
      <c r="C5" s="6" t="s">
        <v>7</v>
      </c>
      <c r="D5" s="7" t="s">
        <v>8</v>
      </c>
    </row>
    <row r="6" spans="1:4" x14ac:dyDescent="0.45">
      <c r="A6" s="4" t="s">
        <v>9</v>
      </c>
      <c r="B6" s="8">
        <v>2.5</v>
      </c>
      <c r="C6" s="6" t="s">
        <v>10</v>
      </c>
      <c r="D6" s="7" t="s">
        <v>8</v>
      </c>
    </row>
    <row r="7" spans="1:4" x14ac:dyDescent="0.45">
      <c r="A7" s="4" t="s">
        <v>11</v>
      </c>
      <c r="B7" s="5">
        <v>880</v>
      </c>
      <c r="C7" s="6" t="s">
        <v>7</v>
      </c>
      <c r="D7" s="7" t="s">
        <v>8</v>
      </c>
    </row>
    <row r="8" spans="1:4" x14ac:dyDescent="0.45">
      <c r="A8" s="4" t="s">
        <v>12</v>
      </c>
      <c r="B8" s="9">
        <v>20</v>
      </c>
      <c r="C8" s="6" t="s">
        <v>13</v>
      </c>
      <c r="D8" s="7" t="s">
        <v>8</v>
      </c>
    </row>
    <row r="9" spans="1:4" x14ac:dyDescent="0.45">
      <c r="A9" s="4" t="s">
        <v>14</v>
      </c>
      <c r="B9" s="10">
        <v>0.1</v>
      </c>
      <c r="C9" s="6" t="s">
        <v>15</v>
      </c>
      <c r="D9" s="7" t="s">
        <v>8</v>
      </c>
    </row>
    <row r="10" spans="1:4" x14ac:dyDescent="0.45">
      <c r="A10" s="4" t="s">
        <v>16</v>
      </c>
      <c r="B10" s="5">
        <v>2094</v>
      </c>
      <c r="C10" s="6" t="s">
        <v>7</v>
      </c>
      <c r="D10" s="7" t="s">
        <v>8</v>
      </c>
    </row>
    <row r="11" spans="1:4" x14ac:dyDescent="0.45">
      <c r="A11" s="4" t="s">
        <v>17</v>
      </c>
      <c r="B11" s="11">
        <f>2.5/3</f>
        <v>0.83333333333333337</v>
      </c>
      <c r="C11" s="6" t="s">
        <v>10</v>
      </c>
      <c r="D11" s="7" t="s">
        <v>18</v>
      </c>
    </row>
    <row r="12" spans="1:4" x14ac:dyDescent="0.45">
      <c r="A12" s="4" t="s">
        <v>19</v>
      </c>
      <c r="B12" s="5">
        <v>440</v>
      </c>
      <c r="C12" s="6" t="s">
        <v>7</v>
      </c>
      <c r="D12" s="7" t="s">
        <v>8</v>
      </c>
    </row>
    <row r="13" spans="1:4" x14ac:dyDescent="0.45">
      <c r="A13" s="4" t="s">
        <v>20</v>
      </c>
      <c r="B13" s="9">
        <v>21</v>
      </c>
      <c r="C13" s="6" t="s">
        <v>13</v>
      </c>
      <c r="D13" s="7" t="s">
        <v>8</v>
      </c>
    </row>
    <row r="14" spans="1:4" x14ac:dyDescent="0.45">
      <c r="A14" s="4" t="s">
        <v>21</v>
      </c>
      <c r="B14" s="10">
        <v>2.5000000000000001E-2</v>
      </c>
      <c r="C14" s="6" t="s">
        <v>15</v>
      </c>
      <c r="D14" s="7" t="s">
        <v>8</v>
      </c>
    </row>
    <row r="15" spans="1:4" x14ac:dyDescent="0.45">
      <c r="A15" s="4" t="s">
        <v>22</v>
      </c>
      <c r="B15" s="5">
        <v>2700</v>
      </c>
      <c r="C15" s="6" t="s">
        <v>7</v>
      </c>
      <c r="D15" s="7" t="s">
        <v>8</v>
      </c>
    </row>
    <row r="16" spans="1:4" x14ac:dyDescent="0.45">
      <c r="A16" s="4" t="s">
        <v>23</v>
      </c>
      <c r="B16" s="8">
        <v>1.25</v>
      </c>
      <c r="C16" s="6" t="s">
        <v>10</v>
      </c>
      <c r="D16" s="7" t="s">
        <v>8</v>
      </c>
    </row>
    <row r="17" spans="1:4" x14ac:dyDescent="0.45">
      <c r="A17" s="4" t="s">
        <v>24</v>
      </c>
      <c r="B17" s="5">
        <v>880</v>
      </c>
      <c r="C17" s="6" t="s">
        <v>7</v>
      </c>
      <c r="D17" s="7" t="s">
        <v>8</v>
      </c>
    </row>
    <row r="18" spans="1:4" x14ac:dyDescent="0.45">
      <c r="A18" s="4" t="s">
        <v>25</v>
      </c>
      <c r="B18" s="9">
        <v>30</v>
      </c>
      <c r="C18" s="6" t="s">
        <v>13</v>
      </c>
      <c r="D18" s="7" t="s">
        <v>8</v>
      </c>
    </row>
    <row r="19" spans="1:4" x14ac:dyDescent="0.45">
      <c r="A19" s="4" t="s">
        <v>26</v>
      </c>
      <c r="B19" s="10">
        <v>1.2500000000000001E-2</v>
      </c>
      <c r="C19" s="6" t="s">
        <v>15</v>
      </c>
      <c r="D19" s="7" t="s">
        <v>8</v>
      </c>
    </row>
    <row r="21" spans="1:4" ht="15.4" x14ac:dyDescent="0.45">
      <c r="A21" s="2" t="s">
        <v>27</v>
      </c>
    </row>
    <row r="22" spans="1:4" x14ac:dyDescent="0.45">
      <c r="A22" s="3" t="s">
        <v>2</v>
      </c>
      <c r="B22" s="3" t="s">
        <v>3</v>
      </c>
      <c r="C22" s="3" t="s">
        <v>4</v>
      </c>
      <c r="D22" s="3" t="s">
        <v>5</v>
      </c>
    </row>
    <row r="23" spans="1:4" x14ac:dyDescent="0.45">
      <c r="A23" s="4" t="s">
        <v>28</v>
      </c>
      <c r="B23" s="9">
        <v>36</v>
      </c>
      <c r="C23" s="6" t="s">
        <v>29</v>
      </c>
      <c r="D23" s="7" t="s">
        <v>30</v>
      </c>
    </row>
    <row r="24" spans="1:4" x14ac:dyDescent="0.45">
      <c r="A24" s="4" t="s">
        <v>31</v>
      </c>
      <c r="B24" s="5">
        <v>20000</v>
      </c>
      <c r="C24" s="6" t="s">
        <v>32</v>
      </c>
      <c r="D24" s="7" t="s">
        <v>30</v>
      </c>
    </row>
    <row r="25" spans="1:4" x14ac:dyDescent="0.45">
      <c r="A25" s="4" t="s">
        <v>33</v>
      </c>
      <c r="B25" s="9">
        <v>64</v>
      </c>
      <c r="C25" s="6" t="s">
        <v>13</v>
      </c>
      <c r="D25" s="7" t="s">
        <v>30</v>
      </c>
    </row>
    <row r="26" spans="1:4" ht="42.75" x14ac:dyDescent="0.45">
      <c r="A26" s="4" t="s">
        <v>34</v>
      </c>
      <c r="B26" s="9">
        <v>720</v>
      </c>
      <c r="C26" s="6" t="s">
        <v>35</v>
      </c>
      <c r="D26" s="7" t="s">
        <v>36</v>
      </c>
    </row>
    <row r="27" spans="1:4" x14ac:dyDescent="0.45">
      <c r="A27" s="4" t="s">
        <v>37</v>
      </c>
      <c r="B27" s="5">
        <v>50000</v>
      </c>
      <c r="C27" s="6" t="s">
        <v>32</v>
      </c>
      <c r="D27" s="7" t="s">
        <v>30</v>
      </c>
    </row>
    <row r="28" spans="1:4" x14ac:dyDescent="0.45">
      <c r="A28" s="4" t="s">
        <v>38</v>
      </c>
      <c r="B28" s="9">
        <v>1440</v>
      </c>
      <c r="C28" s="6" t="s">
        <v>35</v>
      </c>
      <c r="D28" s="7" t="s">
        <v>39</v>
      </c>
    </row>
    <row r="29" spans="1:4" x14ac:dyDescent="0.45">
      <c r="A29" s="4" t="s">
        <v>40</v>
      </c>
      <c r="B29" s="9">
        <v>4</v>
      </c>
      <c r="C29" s="6" t="s">
        <v>41</v>
      </c>
      <c r="D29" s="7" t="s">
        <v>30</v>
      </c>
    </row>
    <row r="30" spans="1:4" x14ac:dyDescent="0.45">
      <c r="A30" s="4" t="s">
        <v>42</v>
      </c>
      <c r="B30" s="9">
        <v>1440</v>
      </c>
      <c r="C30" s="6" t="s">
        <v>43</v>
      </c>
      <c r="D30" s="7" t="s">
        <v>30</v>
      </c>
    </row>
    <row r="31" spans="1:4" x14ac:dyDescent="0.45">
      <c r="A31" s="4" t="s">
        <v>44</v>
      </c>
      <c r="B31" s="5">
        <v>25000</v>
      </c>
      <c r="C31" s="6" t="s">
        <v>45</v>
      </c>
      <c r="D31" s="7" t="s">
        <v>30</v>
      </c>
    </row>
    <row r="32" spans="1:4" ht="42.75" x14ac:dyDescent="0.45">
      <c r="A32" s="4" t="s">
        <v>46</v>
      </c>
      <c r="B32" s="12">
        <f>Inputs!$B$27/Inputs!$B$28</f>
        <v>34.722222222222221</v>
      </c>
      <c r="C32" s="6" t="s">
        <v>47</v>
      </c>
      <c r="D32" s="7" t="s">
        <v>48</v>
      </c>
    </row>
    <row r="33" spans="1:4" ht="28.5" x14ac:dyDescent="0.45">
      <c r="A33" s="4" t="s">
        <v>49</v>
      </c>
      <c r="B33" s="12">
        <f>Inputs!$B$31/Inputs!$B$30</f>
        <v>17.361111111111111</v>
      </c>
      <c r="C33" s="6" t="s">
        <v>47</v>
      </c>
      <c r="D33" s="7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4"/>
  <sheetViews>
    <sheetView showGridLines="0" zoomScaleNormal="100" workbookViewId="0"/>
  </sheetViews>
  <sheetFormatPr defaultColWidth="8.6640625" defaultRowHeight="14.25" x14ac:dyDescent="0.45"/>
  <cols>
    <col min="2" max="25" width="13" customWidth="1"/>
  </cols>
  <sheetData>
    <row r="1" spans="1:25" ht="17.649999999999999" x14ac:dyDescent="0.5">
      <c r="A1" s="1" t="s">
        <v>51</v>
      </c>
    </row>
    <row r="3" spans="1:25" ht="15.4" x14ac:dyDescent="0.45">
      <c r="B3" s="2" t="s">
        <v>52</v>
      </c>
      <c r="J3" s="2" t="s">
        <v>53</v>
      </c>
      <c r="R3" s="2" t="s">
        <v>54</v>
      </c>
    </row>
    <row r="4" spans="1:25" x14ac:dyDescent="0.45"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60</v>
      </c>
      <c r="P4" s="3" t="s">
        <v>61</v>
      </c>
      <c r="Q4" s="3" t="s">
        <v>62</v>
      </c>
      <c r="R4" s="3" t="s">
        <v>55</v>
      </c>
      <c r="S4" s="3" t="s">
        <v>56</v>
      </c>
      <c r="T4" s="3" t="s">
        <v>57</v>
      </c>
      <c r="U4" s="3" t="s">
        <v>58</v>
      </c>
      <c r="V4" s="3" t="s">
        <v>59</v>
      </c>
      <c r="W4" s="3" t="s">
        <v>60</v>
      </c>
      <c r="X4" s="3" t="s">
        <v>61</v>
      </c>
      <c r="Y4" s="3" t="s">
        <v>62</v>
      </c>
    </row>
    <row r="5" spans="1:25" x14ac:dyDescent="0.45">
      <c r="B5" s="13">
        <f>IF(1&lt;=TOM_MAXBED,1,"")</f>
        <v>1</v>
      </c>
      <c r="C5" s="14">
        <f t="shared" ref="C5:C34" si="0">IF(B5="","",B5*TOM_HRS*WEEKS*(1+TOM_DIM)^B5)</f>
        <v>99.000000000000014</v>
      </c>
      <c r="D5" s="15">
        <f t="shared" ref="D5:D34" si="1">IF(C5="","",MIN(C5,FARMER_HRS)*FARMER_RATE+MAX(0,C5-FARMER_HRS)*TEMP_RATE)</f>
        <v>3437.5000000000005</v>
      </c>
      <c r="E5" s="16">
        <f t="shared" ref="E5:E34" si="2">IF(B5="","",B5*TOM_FERT)</f>
        <v>880</v>
      </c>
      <c r="F5" s="15">
        <f t="shared" ref="F5:F34" si="3">IF(D5="","",D5+E5)</f>
        <v>4317.5</v>
      </c>
      <c r="G5" s="16">
        <f t="shared" ref="G5:G34" si="4">IF(B5="","",B5*TOM_PRICE)</f>
        <v>8800</v>
      </c>
      <c r="H5" s="15">
        <f t="shared" ref="H5:H34" si="5">IF(F5="","",G5-F5)</f>
        <v>4482.5</v>
      </c>
      <c r="I5" s="15">
        <f>IF(F5="","",F5-0)</f>
        <v>4317.5</v>
      </c>
      <c r="J5" s="13">
        <f>IF(1&lt;=CAR_MAXBED,1,"")</f>
        <v>1</v>
      </c>
      <c r="K5" s="14">
        <f t="shared" ref="K5:K34" si="6">IF(J5="","",J5*CAR_HRS*WEEKS*(1+CAR_DIM)^J5)</f>
        <v>30.749999999999996</v>
      </c>
      <c r="L5" s="15">
        <f t="shared" ref="L5:L34" si="7">IF(K5="","",MIN(K5,FARMER_HRS)*FARMER_RATE+MAX(0,K5-FARMER_HRS)*TEMP_RATE)</f>
        <v>1067.7083333333333</v>
      </c>
      <c r="M5" s="16">
        <f t="shared" ref="M5:M34" si="8">IF(J5="","",J5*CAR_FERT)</f>
        <v>440</v>
      </c>
      <c r="N5" s="15">
        <f t="shared" ref="N5:N34" si="9">IF(L5="","",L5+M5)</f>
        <v>1507.7083333333333</v>
      </c>
      <c r="O5" s="16">
        <f t="shared" ref="O5:O34" si="10">IF(J5="","",J5*CAR_PRICE)</f>
        <v>2094</v>
      </c>
      <c r="P5" s="15">
        <f t="shared" ref="P5:P34" si="11">IF(N5="","",O5-N5)</f>
        <v>586.29166666666674</v>
      </c>
      <c r="Q5" s="15">
        <f>IF(N5="","",N5-0)</f>
        <v>1507.7083333333333</v>
      </c>
      <c r="R5" s="13">
        <f>IF(1&lt;=MES_MAXBED,1,"")</f>
        <v>1</v>
      </c>
      <c r="S5" s="14">
        <f t="shared" ref="S5:S34" si="12">IF(R5="","",R5*MES_HRS*WEEKS*(1+MES_DIM)^R5)</f>
        <v>45.5625</v>
      </c>
      <c r="T5" s="15">
        <f t="shared" ref="T5:T34" si="13">IF(S5="","",MIN(S5,FARMER_HRS)*FARMER_RATE+MAX(0,S5-FARMER_HRS)*TEMP_RATE)</f>
        <v>1582.03125</v>
      </c>
      <c r="U5" s="16">
        <f t="shared" ref="U5:U34" si="14">IF(R5="","",R5*MES_FERT)</f>
        <v>880</v>
      </c>
      <c r="V5" s="15">
        <f t="shared" ref="V5:V34" si="15">IF(T5="","",T5+U5)</f>
        <v>2462.03125</v>
      </c>
      <c r="W5" s="16">
        <f t="shared" ref="W5:W34" si="16">IF(R5="","",R5*MES_PRICE)</f>
        <v>2700</v>
      </c>
      <c r="X5" s="15">
        <f t="shared" ref="X5:X34" si="17">IF(V5="","",W5-V5)</f>
        <v>237.96875</v>
      </c>
      <c r="Y5" s="15">
        <f>IF(V5="","",V5-0)</f>
        <v>2462.03125</v>
      </c>
    </row>
    <row r="6" spans="1:25" x14ac:dyDescent="0.45">
      <c r="B6" s="13">
        <f>IF(2&lt;=TOM_MAXBED,2,"")</f>
        <v>2</v>
      </c>
      <c r="C6" s="14">
        <f t="shared" si="0"/>
        <v>217.80000000000004</v>
      </c>
      <c r="D6" s="15">
        <f t="shared" si="1"/>
        <v>7562.5000000000009</v>
      </c>
      <c r="E6" s="16">
        <f t="shared" si="2"/>
        <v>1760</v>
      </c>
      <c r="F6" s="15">
        <f t="shared" si="3"/>
        <v>9322.5</v>
      </c>
      <c r="G6" s="16">
        <f t="shared" si="4"/>
        <v>17600</v>
      </c>
      <c r="H6" s="15">
        <f t="shared" si="5"/>
        <v>8277.5</v>
      </c>
      <c r="I6" s="15">
        <f t="shared" ref="I6:I34" si="18">IF(F6="","",IF(F5="",F6,F6-F5))</f>
        <v>5005</v>
      </c>
      <c r="J6" s="13">
        <f>IF(2&lt;=CAR_MAXBED,2,"")</f>
        <v>2</v>
      </c>
      <c r="K6" s="14">
        <f t="shared" si="6"/>
        <v>63.037499999999994</v>
      </c>
      <c r="L6" s="15">
        <f t="shared" si="7"/>
        <v>2188.802083333333</v>
      </c>
      <c r="M6" s="16">
        <f t="shared" si="8"/>
        <v>880</v>
      </c>
      <c r="N6" s="15">
        <f t="shared" si="9"/>
        <v>3068.802083333333</v>
      </c>
      <c r="O6" s="16">
        <f t="shared" si="10"/>
        <v>4188</v>
      </c>
      <c r="P6" s="15">
        <f t="shared" si="11"/>
        <v>1119.197916666667</v>
      </c>
      <c r="Q6" s="15">
        <f t="shared" ref="Q6:Q34" si="19">IF(N6="","",IF(N5="",N6,N6-N5))</f>
        <v>1561.0937499999998</v>
      </c>
      <c r="R6" s="13">
        <f>IF(2&lt;=MES_MAXBED,2,"")</f>
        <v>2</v>
      </c>
      <c r="S6" s="14">
        <f t="shared" si="12"/>
        <v>92.264062499999994</v>
      </c>
      <c r="T6" s="15">
        <f t="shared" si="13"/>
        <v>3203.6132812499995</v>
      </c>
      <c r="U6" s="16">
        <f t="shared" si="14"/>
        <v>1760</v>
      </c>
      <c r="V6" s="15">
        <f t="shared" si="15"/>
        <v>4963.61328125</v>
      </c>
      <c r="W6" s="16">
        <f t="shared" si="16"/>
        <v>5400</v>
      </c>
      <c r="X6" s="15">
        <f t="shared" si="17"/>
        <v>436.38671875</v>
      </c>
      <c r="Y6" s="15">
        <f t="shared" ref="Y6:Y34" si="20">IF(V6="","",IF(V5="",V6,V6-V5))</f>
        <v>2501.58203125</v>
      </c>
    </row>
    <row r="7" spans="1:25" x14ac:dyDescent="0.45">
      <c r="B7" s="13">
        <f>IF(3&lt;=TOM_MAXBED,3,"")</f>
        <v>3</v>
      </c>
      <c r="C7" s="14">
        <f t="shared" si="0"/>
        <v>359.37000000000012</v>
      </c>
      <c r="D7" s="15">
        <f t="shared" si="1"/>
        <v>12478.125000000004</v>
      </c>
      <c r="E7" s="16">
        <f t="shared" si="2"/>
        <v>2640</v>
      </c>
      <c r="F7" s="15">
        <f t="shared" si="3"/>
        <v>15118.125000000004</v>
      </c>
      <c r="G7" s="16">
        <f t="shared" si="4"/>
        <v>26400</v>
      </c>
      <c r="H7" s="15">
        <f t="shared" si="5"/>
        <v>11281.874999999996</v>
      </c>
      <c r="I7" s="15">
        <f t="shared" si="18"/>
        <v>5795.6250000000036</v>
      </c>
      <c r="J7" s="13">
        <f>IF(3&lt;=CAR_MAXBED,3,"")</f>
        <v>3</v>
      </c>
      <c r="K7" s="14">
        <f t="shared" si="6"/>
        <v>96.920156249999991</v>
      </c>
      <c r="L7" s="15">
        <f t="shared" si="7"/>
        <v>3365.2832031249995</v>
      </c>
      <c r="M7" s="16">
        <f t="shared" si="8"/>
        <v>1320</v>
      </c>
      <c r="N7" s="15">
        <f t="shared" si="9"/>
        <v>4685.283203125</v>
      </c>
      <c r="O7" s="16">
        <f t="shared" si="10"/>
        <v>6282</v>
      </c>
      <c r="P7" s="15">
        <f t="shared" si="11"/>
        <v>1596.716796875</v>
      </c>
      <c r="Q7" s="15">
        <f t="shared" si="19"/>
        <v>1616.481119791667</v>
      </c>
      <c r="R7" s="13">
        <f>IF(3&lt;=MES_MAXBED,3,"")</f>
        <v>3</v>
      </c>
      <c r="S7" s="14">
        <f t="shared" si="12"/>
        <v>140.12604492187498</v>
      </c>
      <c r="T7" s="15">
        <f t="shared" si="13"/>
        <v>4865.4876708984366</v>
      </c>
      <c r="U7" s="16">
        <f t="shared" si="14"/>
        <v>2640</v>
      </c>
      <c r="V7" s="15">
        <f t="shared" si="15"/>
        <v>7505.4876708984366</v>
      </c>
      <c r="W7" s="16">
        <f t="shared" si="16"/>
        <v>8100</v>
      </c>
      <c r="X7" s="15">
        <f t="shared" si="17"/>
        <v>594.51232910156341</v>
      </c>
      <c r="Y7" s="15">
        <f t="shared" si="20"/>
        <v>2541.8743896484366</v>
      </c>
    </row>
    <row r="8" spans="1:25" x14ac:dyDescent="0.45">
      <c r="B8" s="13">
        <f>IF(4&lt;=TOM_MAXBED,4,"")</f>
        <v>4</v>
      </c>
      <c r="C8" s="14">
        <f t="shared" si="0"/>
        <v>527.07600000000014</v>
      </c>
      <c r="D8" s="15">
        <f t="shared" si="1"/>
        <v>18301.250000000004</v>
      </c>
      <c r="E8" s="16">
        <f t="shared" si="2"/>
        <v>3520</v>
      </c>
      <c r="F8" s="15">
        <f t="shared" si="3"/>
        <v>21821.250000000004</v>
      </c>
      <c r="G8" s="16">
        <f t="shared" si="4"/>
        <v>35200</v>
      </c>
      <c r="H8" s="15">
        <f t="shared" si="5"/>
        <v>13378.749999999996</v>
      </c>
      <c r="I8" s="15">
        <f t="shared" si="18"/>
        <v>6703.125</v>
      </c>
      <c r="J8" s="13">
        <f>IF(4&lt;=CAR_MAXBED,4,"")</f>
        <v>4</v>
      </c>
      <c r="K8" s="14">
        <f t="shared" si="6"/>
        <v>132.45754687499996</v>
      </c>
      <c r="L8" s="15">
        <f t="shared" si="7"/>
        <v>4599.2203776041652</v>
      </c>
      <c r="M8" s="16">
        <f t="shared" si="8"/>
        <v>1760</v>
      </c>
      <c r="N8" s="15">
        <f t="shared" si="9"/>
        <v>6359.2203776041652</v>
      </c>
      <c r="O8" s="16">
        <f t="shared" si="10"/>
        <v>8376</v>
      </c>
      <c r="P8" s="15">
        <f t="shared" si="11"/>
        <v>2016.7796223958348</v>
      </c>
      <c r="Q8" s="15">
        <f t="shared" si="19"/>
        <v>1673.9371744791652</v>
      </c>
      <c r="R8" s="13">
        <f>IF(4&lt;=MES_MAXBED,4,"")</f>
        <v>4</v>
      </c>
      <c r="S8" s="14">
        <f t="shared" si="12"/>
        <v>189.17016064453125</v>
      </c>
      <c r="T8" s="15">
        <f t="shared" si="13"/>
        <v>6568.4083557128906</v>
      </c>
      <c r="U8" s="16">
        <f t="shared" si="14"/>
        <v>3520</v>
      </c>
      <c r="V8" s="15">
        <f t="shared" si="15"/>
        <v>10088.408355712891</v>
      </c>
      <c r="W8" s="16">
        <f t="shared" si="16"/>
        <v>10800</v>
      </c>
      <c r="X8" s="15">
        <f t="shared" si="17"/>
        <v>711.59164428710938</v>
      </c>
      <c r="Y8" s="15">
        <f t="shared" si="20"/>
        <v>2582.920684814454</v>
      </c>
    </row>
    <row r="9" spans="1:25" x14ac:dyDescent="0.45">
      <c r="B9" s="13">
        <f>IF(5&lt;=TOM_MAXBED,5,"")</f>
        <v>5</v>
      </c>
      <c r="C9" s="14">
        <f t="shared" si="0"/>
        <v>724.72950000000026</v>
      </c>
      <c r="D9" s="15">
        <f t="shared" si="1"/>
        <v>25082.109375000004</v>
      </c>
      <c r="E9" s="16">
        <f t="shared" si="2"/>
        <v>4400</v>
      </c>
      <c r="F9" s="15">
        <f t="shared" si="3"/>
        <v>29482.109375000004</v>
      </c>
      <c r="G9" s="16">
        <f t="shared" si="4"/>
        <v>44000</v>
      </c>
      <c r="H9" s="15">
        <f t="shared" si="5"/>
        <v>14517.890624999996</v>
      </c>
      <c r="I9" s="15">
        <f t="shared" si="18"/>
        <v>7660.859375</v>
      </c>
      <c r="J9" s="13">
        <f>IF(5&lt;=CAR_MAXBED,5,"")</f>
        <v>5</v>
      </c>
      <c r="K9" s="14">
        <f t="shared" si="6"/>
        <v>169.71123193359369</v>
      </c>
      <c r="L9" s="15">
        <f t="shared" si="7"/>
        <v>5892.7511088053361</v>
      </c>
      <c r="M9" s="16">
        <f t="shared" si="8"/>
        <v>2200</v>
      </c>
      <c r="N9" s="15">
        <f t="shared" si="9"/>
        <v>8092.7511088053361</v>
      </c>
      <c r="O9" s="16">
        <f t="shared" si="10"/>
        <v>10470</v>
      </c>
      <c r="P9" s="15">
        <f t="shared" si="11"/>
        <v>2377.2488911946639</v>
      </c>
      <c r="Q9" s="15">
        <f t="shared" si="19"/>
        <v>1733.530731201171</v>
      </c>
      <c r="R9" s="13">
        <f>IF(5&lt;=MES_MAXBED,5,"")</f>
        <v>5</v>
      </c>
      <c r="S9" s="14">
        <f t="shared" si="12"/>
        <v>239.41848456573481</v>
      </c>
      <c r="T9" s="15">
        <f t="shared" si="13"/>
        <v>8313.1418251991254</v>
      </c>
      <c r="U9" s="16">
        <f t="shared" si="14"/>
        <v>4400</v>
      </c>
      <c r="V9" s="15">
        <f t="shared" si="15"/>
        <v>12713.141825199125</v>
      </c>
      <c r="W9" s="16">
        <f t="shared" si="16"/>
        <v>13500</v>
      </c>
      <c r="X9" s="15">
        <f t="shared" si="17"/>
        <v>786.85817480087462</v>
      </c>
      <c r="Y9" s="15">
        <f t="shared" si="20"/>
        <v>2624.7334694862348</v>
      </c>
    </row>
    <row r="10" spans="1:25" x14ac:dyDescent="0.45">
      <c r="B10" s="13">
        <f>IF(6&lt;=TOM_MAXBED,6,"")</f>
        <v>6</v>
      </c>
      <c r="C10" s="14">
        <f t="shared" si="0"/>
        <v>956.64294000000041</v>
      </c>
      <c r="D10" s="15">
        <f t="shared" si="1"/>
        <v>29108.384375000009</v>
      </c>
      <c r="E10" s="16">
        <f t="shared" si="2"/>
        <v>5280</v>
      </c>
      <c r="F10" s="15">
        <f t="shared" si="3"/>
        <v>34388.384375000009</v>
      </c>
      <c r="G10" s="16">
        <f t="shared" si="4"/>
        <v>52800</v>
      </c>
      <c r="H10" s="15">
        <f t="shared" si="5"/>
        <v>18411.615624999991</v>
      </c>
      <c r="I10" s="15">
        <f t="shared" si="18"/>
        <v>4906.2750000000051</v>
      </c>
      <c r="J10" s="13">
        <f>IF(6&lt;=CAR_MAXBED,6,"")</f>
        <v>6</v>
      </c>
      <c r="K10" s="14">
        <f t="shared" si="6"/>
        <v>208.74481527832023</v>
      </c>
      <c r="L10" s="15">
        <f t="shared" si="7"/>
        <v>7248.0838638305631</v>
      </c>
      <c r="M10" s="16">
        <f t="shared" si="8"/>
        <v>2640</v>
      </c>
      <c r="N10" s="15">
        <f t="shared" si="9"/>
        <v>9888.0838638305631</v>
      </c>
      <c r="O10" s="16">
        <f t="shared" si="10"/>
        <v>12564</v>
      </c>
      <c r="P10" s="15">
        <f t="shared" si="11"/>
        <v>2675.9161361694369</v>
      </c>
      <c r="Q10" s="15">
        <f t="shared" si="19"/>
        <v>1795.332755025227</v>
      </c>
      <c r="R10" s="13">
        <f>IF(6&lt;=MES_MAXBED,6,"")</f>
        <v>6</v>
      </c>
      <c r="S10" s="14">
        <f t="shared" si="12"/>
        <v>290.89345874736784</v>
      </c>
      <c r="T10" s="15">
        <f t="shared" si="13"/>
        <v>10100.467317616938</v>
      </c>
      <c r="U10" s="16">
        <f t="shared" si="14"/>
        <v>5280</v>
      </c>
      <c r="V10" s="15">
        <f t="shared" si="15"/>
        <v>15380.467317616938</v>
      </c>
      <c r="W10" s="16">
        <f t="shared" si="16"/>
        <v>16200</v>
      </c>
      <c r="X10" s="15">
        <f t="shared" si="17"/>
        <v>819.53268238306191</v>
      </c>
      <c r="Y10" s="15">
        <f t="shared" si="20"/>
        <v>2667.3254924178127</v>
      </c>
    </row>
    <row r="11" spans="1:25" x14ac:dyDescent="0.45">
      <c r="B11" s="13">
        <f>IF(7&lt;=TOM_MAXBED,7,"")</f>
        <v>7</v>
      </c>
      <c r="C11" s="14">
        <f t="shared" si="0"/>
        <v>1227.6917730000007</v>
      </c>
      <c r="D11" s="15">
        <f t="shared" si="1"/>
        <v>33814.09328125001</v>
      </c>
      <c r="E11" s="16">
        <f t="shared" si="2"/>
        <v>6160</v>
      </c>
      <c r="F11" s="15">
        <f t="shared" si="3"/>
        <v>39974.09328125001</v>
      </c>
      <c r="G11" s="16">
        <f t="shared" si="4"/>
        <v>61600</v>
      </c>
      <c r="H11" s="15">
        <f t="shared" si="5"/>
        <v>21625.90671874999</v>
      </c>
      <c r="I11" s="15">
        <f t="shared" si="18"/>
        <v>5585.7089062500017</v>
      </c>
      <c r="J11" s="13">
        <f>IF(7&lt;=CAR_MAXBED,7,"")</f>
        <v>7</v>
      </c>
      <c r="K11" s="14">
        <f t="shared" si="6"/>
        <v>249.62400827032465</v>
      </c>
      <c r="L11" s="15">
        <f t="shared" si="7"/>
        <v>8667.50028716405</v>
      </c>
      <c r="M11" s="16">
        <f t="shared" si="8"/>
        <v>3080</v>
      </c>
      <c r="N11" s="15">
        <f t="shared" si="9"/>
        <v>11747.50028716405</v>
      </c>
      <c r="O11" s="16">
        <f t="shared" si="10"/>
        <v>14658</v>
      </c>
      <c r="P11" s="15">
        <f t="shared" si="11"/>
        <v>2910.49971283595</v>
      </c>
      <c r="Q11" s="15">
        <f t="shared" si="19"/>
        <v>1859.4164233334868</v>
      </c>
      <c r="R11" s="13">
        <f>IF(7&lt;=MES_MAXBED,7,"")</f>
        <v>7</v>
      </c>
      <c r="S11" s="14">
        <f t="shared" si="12"/>
        <v>343.61789814532818</v>
      </c>
      <c r="T11" s="15">
        <f t="shared" si="13"/>
        <v>11931.177018935006</v>
      </c>
      <c r="U11" s="16">
        <f t="shared" si="14"/>
        <v>6160</v>
      </c>
      <c r="V11" s="15">
        <f t="shared" si="15"/>
        <v>18091.177018935006</v>
      </c>
      <c r="W11" s="16">
        <f t="shared" si="16"/>
        <v>18900</v>
      </c>
      <c r="X11" s="15">
        <f t="shared" si="17"/>
        <v>808.82298106499366</v>
      </c>
      <c r="Y11" s="15">
        <f t="shared" si="20"/>
        <v>2710.7097013180683</v>
      </c>
    </row>
    <row r="12" spans="1:25" x14ac:dyDescent="0.45">
      <c r="B12" s="13">
        <f>IF(8&lt;=TOM_MAXBED,8,"")</f>
        <v>8</v>
      </c>
      <c r="C12" s="14">
        <f t="shared" si="0"/>
        <v>1543.3839432000009</v>
      </c>
      <c r="D12" s="15">
        <f t="shared" si="1"/>
        <v>39294.860125000014</v>
      </c>
      <c r="E12" s="16">
        <f t="shared" si="2"/>
        <v>7040</v>
      </c>
      <c r="F12" s="15">
        <f t="shared" si="3"/>
        <v>46334.860125000014</v>
      </c>
      <c r="G12" s="16">
        <f t="shared" si="4"/>
        <v>70400</v>
      </c>
      <c r="H12" s="15">
        <f t="shared" si="5"/>
        <v>24065.139874999986</v>
      </c>
      <c r="I12" s="15">
        <f t="shared" si="18"/>
        <v>6360.7668437500033</v>
      </c>
      <c r="J12" s="13">
        <f>IF(8&lt;=CAR_MAXBED,8,"")</f>
        <v>8</v>
      </c>
      <c r="K12" s="14">
        <f t="shared" si="6"/>
        <v>292.41669540238024</v>
      </c>
      <c r="L12" s="15">
        <f t="shared" si="7"/>
        <v>10153.357479249315</v>
      </c>
      <c r="M12" s="16">
        <f t="shared" si="8"/>
        <v>3520</v>
      </c>
      <c r="N12" s="15">
        <f t="shared" si="9"/>
        <v>13673.357479249315</v>
      </c>
      <c r="O12" s="16">
        <f t="shared" si="10"/>
        <v>16752</v>
      </c>
      <c r="P12" s="15">
        <f t="shared" si="11"/>
        <v>3078.6425207506854</v>
      </c>
      <c r="Q12" s="15">
        <f t="shared" si="19"/>
        <v>1925.8571920852646</v>
      </c>
      <c r="R12" s="13">
        <f>IF(8&lt;=MES_MAXBED,8,"")</f>
        <v>8</v>
      </c>
      <c r="S12" s="14">
        <f t="shared" si="12"/>
        <v>397.61499642530839</v>
      </c>
      <c r="T12" s="15">
        <f t="shared" si="13"/>
        <v>13806.076264767653</v>
      </c>
      <c r="U12" s="16">
        <f t="shared" si="14"/>
        <v>7040</v>
      </c>
      <c r="V12" s="15">
        <f t="shared" si="15"/>
        <v>20846.076264767653</v>
      </c>
      <c r="W12" s="16">
        <f t="shared" si="16"/>
        <v>21600</v>
      </c>
      <c r="X12" s="15">
        <f t="shared" si="17"/>
        <v>753.9237352323471</v>
      </c>
      <c r="Y12" s="15">
        <f t="shared" si="20"/>
        <v>2754.8992458326466</v>
      </c>
    </row>
    <row r="13" spans="1:25" x14ac:dyDescent="0.45">
      <c r="B13" s="13">
        <f>IF(9&lt;=TOM_MAXBED,9,"")</f>
        <v>9</v>
      </c>
      <c r="C13" s="14">
        <f t="shared" si="0"/>
        <v>1909.9376297100011</v>
      </c>
      <c r="D13" s="15">
        <f t="shared" si="1"/>
        <v>45658.639404687521</v>
      </c>
      <c r="E13" s="16">
        <f t="shared" si="2"/>
        <v>7920</v>
      </c>
      <c r="F13" s="15">
        <f t="shared" si="3"/>
        <v>53578.639404687521</v>
      </c>
      <c r="G13" s="16">
        <f t="shared" si="4"/>
        <v>79200</v>
      </c>
      <c r="H13" s="15">
        <f t="shared" si="5"/>
        <v>25621.360595312479</v>
      </c>
      <c r="I13" s="15">
        <f t="shared" si="18"/>
        <v>7243.7792796875074</v>
      </c>
      <c r="J13" s="13">
        <f>IF(9&lt;=CAR_MAXBED,9,"")</f>
        <v>9</v>
      </c>
      <c r="K13" s="14">
        <f t="shared" si="6"/>
        <v>337.19300188586965</v>
      </c>
      <c r="L13" s="15">
        <f t="shared" si="7"/>
        <v>11708.090343259362</v>
      </c>
      <c r="M13" s="16">
        <f t="shared" si="8"/>
        <v>3960</v>
      </c>
      <c r="N13" s="15">
        <f t="shared" si="9"/>
        <v>15668.090343259362</v>
      </c>
      <c r="O13" s="16">
        <f t="shared" si="10"/>
        <v>18846</v>
      </c>
      <c r="P13" s="15">
        <f t="shared" si="11"/>
        <v>3177.9096567406377</v>
      </c>
      <c r="Q13" s="15">
        <f t="shared" si="19"/>
        <v>1994.7328640100477</v>
      </c>
      <c r="R13" s="13">
        <f>IF(9&lt;=MES_MAXBED,9,"")</f>
        <v>9</v>
      </c>
      <c r="S13" s="14">
        <f t="shared" si="12"/>
        <v>452.90833186570285</v>
      </c>
      <c r="T13" s="15">
        <f t="shared" si="13"/>
        <v>15725.983745336904</v>
      </c>
      <c r="U13" s="16">
        <f t="shared" si="14"/>
        <v>7920</v>
      </c>
      <c r="V13" s="15">
        <f t="shared" si="15"/>
        <v>23645.983745336904</v>
      </c>
      <c r="W13" s="16">
        <f t="shared" si="16"/>
        <v>24300</v>
      </c>
      <c r="X13" s="15">
        <f t="shared" si="17"/>
        <v>654.01625466309633</v>
      </c>
      <c r="Y13" s="15">
        <f t="shared" si="20"/>
        <v>2799.9074805692508</v>
      </c>
    </row>
    <row r="14" spans="1:25" x14ac:dyDescent="0.45">
      <c r="B14" s="13">
        <f>IF(10&lt;=TOM_MAXBED,10,"")</f>
        <v>10</v>
      </c>
      <c r="C14" s="14">
        <f t="shared" si="0"/>
        <v>2334.3682140900019</v>
      </c>
      <c r="D14" s="15">
        <f t="shared" si="1"/>
        <v>53027.225939062533</v>
      </c>
      <c r="E14" s="16">
        <f t="shared" si="2"/>
        <v>8800</v>
      </c>
      <c r="F14" s="15">
        <f t="shared" si="3"/>
        <v>61827.225939062533</v>
      </c>
      <c r="G14" s="16">
        <f t="shared" si="4"/>
        <v>88000</v>
      </c>
      <c r="H14" s="15">
        <f t="shared" si="5"/>
        <v>26172.774060937467</v>
      </c>
      <c r="I14" s="15">
        <f t="shared" si="18"/>
        <v>8248.586534375012</v>
      </c>
      <c r="J14" s="13">
        <f>IF(10&lt;=CAR_MAXBED,10,"")</f>
        <v>10</v>
      </c>
      <c r="K14" s="14">
        <f t="shared" si="6"/>
        <v>384.02536325890713</v>
      </c>
      <c r="L14" s="15">
        <f t="shared" si="7"/>
        <v>13334.214002045386</v>
      </c>
      <c r="M14" s="16">
        <f t="shared" si="8"/>
        <v>4400</v>
      </c>
      <c r="N14" s="15">
        <f t="shared" si="9"/>
        <v>17734.214002045388</v>
      </c>
      <c r="O14" s="16">
        <f t="shared" si="10"/>
        <v>20940</v>
      </c>
      <c r="P14" s="15">
        <f t="shared" si="11"/>
        <v>3205.785997954612</v>
      </c>
      <c r="Q14" s="15">
        <f t="shared" si="19"/>
        <v>2066.1236587860258</v>
      </c>
      <c r="R14" s="13">
        <f>IF(10&lt;=MES_MAXBED,10,"")</f>
        <v>10</v>
      </c>
      <c r="S14" s="14">
        <f t="shared" si="12"/>
        <v>509.52187334891573</v>
      </c>
      <c r="T14" s="15">
        <f t="shared" si="13"/>
        <v>17691.731713504018</v>
      </c>
      <c r="U14" s="16">
        <f t="shared" si="14"/>
        <v>8800</v>
      </c>
      <c r="V14" s="15">
        <f t="shared" si="15"/>
        <v>26491.731713504018</v>
      </c>
      <c r="W14" s="16">
        <f t="shared" si="16"/>
        <v>27000</v>
      </c>
      <c r="X14" s="15">
        <f t="shared" si="17"/>
        <v>508.26828649598247</v>
      </c>
      <c r="Y14" s="15">
        <f t="shared" si="20"/>
        <v>2845.7479681671139</v>
      </c>
    </row>
    <row r="15" spans="1:25" x14ac:dyDescent="0.45">
      <c r="B15" s="13">
        <f>IF(11&lt;=TOM_MAXBED,11,"")</f>
        <v>11</v>
      </c>
      <c r="C15" s="14">
        <f t="shared" si="0"/>
        <v>2824.5855390489023</v>
      </c>
      <c r="D15" s="15">
        <f t="shared" si="1"/>
        <v>61537.943386265666</v>
      </c>
      <c r="E15" s="16">
        <f t="shared" si="2"/>
        <v>9680</v>
      </c>
      <c r="F15" s="15">
        <f t="shared" si="3"/>
        <v>71217.943386265659</v>
      </c>
      <c r="G15" s="16">
        <f t="shared" si="4"/>
        <v>96800</v>
      </c>
      <c r="H15" s="15">
        <f t="shared" si="5"/>
        <v>25582.056613734341</v>
      </c>
      <c r="I15" s="15">
        <f t="shared" si="18"/>
        <v>9390.7174472031256</v>
      </c>
      <c r="J15" s="13">
        <f>IF(11&lt;=CAR_MAXBED,11,"")</f>
        <v>11</v>
      </c>
      <c r="K15" s="14">
        <f t="shared" si="6"/>
        <v>432.98859707441784</v>
      </c>
      <c r="L15" s="15">
        <f t="shared" si="7"/>
        <v>15034.326287306174</v>
      </c>
      <c r="M15" s="16">
        <f t="shared" si="8"/>
        <v>4840</v>
      </c>
      <c r="N15" s="15">
        <f t="shared" si="9"/>
        <v>19874.326287306176</v>
      </c>
      <c r="O15" s="16">
        <f t="shared" si="10"/>
        <v>23034</v>
      </c>
      <c r="P15" s="15">
        <f t="shared" si="11"/>
        <v>3159.6737126938242</v>
      </c>
      <c r="Q15" s="15">
        <f t="shared" si="19"/>
        <v>2140.1122852607878</v>
      </c>
      <c r="R15" s="13">
        <f>IF(11&lt;=MES_MAXBED,11,"")</f>
        <v>11</v>
      </c>
      <c r="S15" s="14">
        <f t="shared" si="12"/>
        <v>567.47998644235474</v>
      </c>
      <c r="T15" s="15">
        <f t="shared" si="13"/>
        <v>19704.166195915095</v>
      </c>
      <c r="U15" s="16">
        <f t="shared" si="14"/>
        <v>9680</v>
      </c>
      <c r="V15" s="15">
        <f t="shared" si="15"/>
        <v>29384.166195915095</v>
      </c>
      <c r="W15" s="16">
        <f t="shared" si="16"/>
        <v>29700</v>
      </c>
      <c r="X15" s="15">
        <f t="shared" si="17"/>
        <v>315.83380408490484</v>
      </c>
      <c r="Y15" s="15">
        <f t="shared" si="20"/>
        <v>2892.4344824110776</v>
      </c>
    </row>
    <row r="16" spans="1:25" x14ac:dyDescent="0.45">
      <c r="B16" s="13">
        <f>IF(12&lt;=TOM_MAXBED,12,"")</f>
        <v>12</v>
      </c>
      <c r="C16" s="14">
        <f t="shared" si="0"/>
        <v>3389.502646858683</v>
      </c>
      <c r="D16" s="15">
        <f t="shared" si="1"/>
        <v>71345.532063518796</v>
      </c>
      <c r="E16" s="16">
        <f t="shared" si="2"/>
        <v>10560</v>
      </c>
      <c r="F16" s="15">
        <f t="shared" si="3"/>
        <v>81905.532063518796</v>
      </c>
      <c r="G16" s="16">
        <f t="shared" si="4"/>
        <v>105600</v>
      </c>
      <c r="H16" s="15">
        <f t="shared" si="5"/>
        <v>23694.467936481204</v>
      </c>
      <c r="I16" s="15">
        <f t="shared" si="18"/>
        <v>10687.588677253138</v>
      </c>
      <c r="J16" s="13">
        <f>IF(12&lt;=CAR_MAXBED,12,"")</f>
        <v>12</v>
      </c>
      <c r="K16" s="14">
        <f t="shared" si="6"/>
        <v>484.15997672866712</v>
      </c>
      <c r="L16" s="15">
        <f t="shared" si="7"/>
        <v>16811.11030307872</v>
      </c>
      <c r="M16" s="16">
        <f t="shared" si="8"/>
        <v>5280</v>
      </c>
      <c r="N16" s="15">
        <f t="shared" si="9"/>
        <v>22091.11030307872</v>
      </c>
      <c r="O16" s="16">
        <f t="shared" si="10"/>
        <v>25128</v>
      </c>
      <c r="P16" s="15">
        <f t="shared" si="11"/>
        <v>3036.8896969212801</v>
      </c>
      <c r="Q16" s="15">
        <f t="shared" si="19"/>
        <v>2216.7840157725441</v>
      </c>
      <c r="R16" s="13">
        <f>IF(12&lt;=MES_MAXBED,12,"")</f>
        <v>12</v>
      </c>
      <c r="S16" s="14">
        <f t="shared" si="12"/>
        <v>626.80743957041921</v>
      </c>
      <c r="T16" s="15">
        <f t="shared" si="13"/>
        <v>21764.147207306221</v>
      </c>
      <c r="U16" s="16">
        <f t="shared" si="14"/>
        <v>10560</v>
      </c>
      <c r="V16" s="15">
        <f t="shared" si="15"/>
        <v>32324.147207306221</v>
      </c>
      <c r="W16" s="16">
        <f t="shared" si="16"/>
        <v>32400</v>
      </c>
      <c r="X16" s="15">
        <f t="shared" si="17"/>
        <v>75.852792693778611</v>
      </c>
      <c r="Y16" s="15">
        <f t="shared" si="20"/>
        <v>2939.9810113911262</v>
      </c>
    </row>
    <row r="17" spans="2:25" x14ac:dyDescent="0.45">
      <c r="B17" s="13">
        <f>IF(13&lt;=TOM_MAXBED,13,"")</f>
        <v>13</v>
      </c>
      <c r="C17" s="14">
        <f t="shared" si="0"/>
        <v>4039.1573208399304</v>
      </c>
      <c r="D17" s="15">
        <f t="shared" si="1"/>
        <v>82624.259042359903</v>
      </c>
      <c r="E17" s="16">
        <f t="shared" si="2"/>
        <v>11440</v>
      </c>
      <c r="F17" s="15">
        <f t="shared" si="3"/>
        <v>94064.259042359903</v>
      </c>
      <c r="G17" s="16">
        <f t="shared" si="4"/>
        <v>114400</v>
      </c>
      <c r="H17" s="15">
        <f t="shared" si="5"/>
        <v>20335.740957640097</v>
      </c>
      <c r="I17" s="15">
        <f t="shared" si="18"/>
        <v>12158.726978841107</v>
      </c>
      <c r="J17" s="13">
        <f>IF(13&lt;=CAR_MAXBED,13,"")</f>
        <v>13</v>
      </c>
      <c r="K17" s="14">
        <f t="shared" si="6"/>
        <v>537.61930749245744</v>
      </c>
      <c r="L17" s="15">
        <f t="shared" si="7"/>
        <v>18667.337065710326</v>
      </c>
      <c r="M17" s="16">
        <f t="shared" si="8"/>
        <v>5720</v>
      </c>
      <c r="N17" s="15">
        <f t="shared" si="9"/>
        <v>24387.337065710326</v>
      </c>
      <c r="O17" s="16">
        <f t="shared" si="10"/>
        <v>27222</v>
      </c>
      <c r="P17" s="15">
        <f t="shared" si="11"/>
        <v>2834.662934289674</v>
      </c>
      <c r="Q17" s="15">
        <f t="shared" si="19"/>
        <v>2296.2267626316061</v>
      </c>
      <c r="R17" s="13">
        <f>IF(13&lt;=MES_MAXBED,13,"")</f>
        <v>13</v>
      </c>
      <c r="S17" s="14">
        <f t="shared" si="12"/>
        <v>687.52941027880343</v>
      </c>
      <c r="T17" s="15">
        <f t="shared" si="13"/>
        <v>23872.548968014009</v>
      </c>
      <c r="U17" s="16">
        <f t="shared" si="14"/>
        <v>11440</v>
      </c>
      <c r="V17" s="15">
        <f t="shared" si="15"/>
        <v>35312.548968014009</v>
      </c>
      <c r="W17" s="16">
        <f t="shared" si="16"/>
        <v>35100</v>
      </c>
      <c r="X17" s="15">
        <f t="shared" si="17"/>
        <v>-212.54896801400901</v>
      </c>
      <c r="Y17" s="15">
        <f t="shared" si="20"/>
        <v>2988.4017607077876</v>
      </c>
    </row>
    <row r="18" spans="2:25" x14ac:dyDescent="0.45">
      <c r="B18" s="13">
        <f>IF(14&lt;=TOM_MAXBED,14,"")</f>
        <v>14</v>
      </c>
      <c r="C18" s="14">
        <f t="shared" si="0"/>
        <v>4784.8479031488414</v>
      </c>
      <c r="D18" s="15">
        <f t="shared" si="1"/>
        <v>95570.276096334055</v>
      </c>
      <c r="E18" s="16">
        <f t="shared" si="2"/>
        <v>12320</v>
      </c>
      <c r="F18" s="15">
        <f t="shared" si="3"/>
        <v>107890.27609633406</v>
      </c>
      <c r="G18" s="16">
        <f t="shared" si="4"/>
        <v>123200</v>
      </c>
      <c r="H18" s="15">
        <f t="shared" si="5"/>
        <v>15309.723903665945</v>
      </c>
      <c r="I18" s="15">
        <f t="shared" si="18"/>
        <v>13826.017053974152</v>
      </c>
      <c r="J18" s="13">
        <f>IF(14&lt;=CAR_MAXBED,14,"")</f>
        <v>14</v>
      </c>
      <c r="K18" s="14">
        <f t="shared" si="6"/>
        <v>593.44900480898184</v>
      </c>
      <c r="L18" s="15">
        <f t="shared" si="7"/>
        <v>20605.868222534093</v>
      </c>
      <c r="M18" s="16">
        <f t="shared" si="8"/>
        <v>6160</v>
      </c>
      <c r="N18" s="15">
        <f t="shared" si="9"/>
        <v>26765.868222534093</v>
      </c>
      <c r="O18" s="16">
        <f t="shared" si="10"/>
        <v>29316</v>
      </c>
      <c r="P18" s="15">
        <f t="shared" si="11"/>
        <v>2550.1317774659074</v>
      </c>
      <c r="Q18" s="15">
        <f t="shared" si="19"/>
        <v>2378.5311568237667</v>
      </c>
      <c r="R18" s="13">
        <f>IF(14&lt;=MES_MAXBED,14,"")</f>
        <v>14</v>
      </c>
      <c r="S18" s="14">
        <f t="shared" si="12"/>
        <v>749.67149159246469</v>
      </c>
      <c r="T18" s="15">
        <f t="shared" si="13"/>
        <v>25515.130062369179</v>
      </c>
      <c r="U18" s="16">
        <f t="shared" si="14"/>
        <v>12320</v>
      </c>
      <c r="V18" s="15">
        <f t="shared" si="15"/>
        <v>37835.130062369179</v>
      </c>
      <c r="W18" s="16">
        <f t="shared" si="16"/>
        <v>37800</v>
      </c>
      <c r="X18" s="15">
        <f t="shared" si="17"/>
        <v>-35.130062369178631</v>
      </c>
      <c r="Y18" s="15">
        <f t="shared" si="20"/>
        <v>2522.5810943551696</v>
      </c>
    </row>
    <row r="19" spans="2:25" x14ac:dyDescent="0.45">
      <c r="B19" s="13">
        <f>IF(15&lt;=TOM_MAXBED,15,"")</f>
        <v>15</v>
      </c>
      <c r="C19" s="14">
        <f t="shared" si="0"/>
        <v>5639.2850287111351</v>
      </c>
      <c r="D19" s="15">
        <f t="shared" si="1"/>
        <v>110404.25397067942</v>
      </c>
      <c r="E19" s="16">
        <f t="shared" si="2"/>
        <v>13200</v>
      </c>
      <c r="F19" s="15">
        <f t="shared" si="3"/>
        <v>123604.25397067942</v>
      </c>
      <c r="G19" s="16">
        <f t="shared" si="4"/>
        <v>132000</v>
      </c>
      <c r="H19" s="15">
        <f t="shared" si="5"/>
        <v>8395.7460293205804</v>
      </c>
      <c r="I19" s="15">
        <f t="shared" si="18"/>
        <v>15713.977874345364</v>
      </c>
      <c r="J19" s="13">
        <f>IF(15&lt;=CAR_MAXBED,15,"")</f>
        <v>15</v>
      </c>
      <c r="K19" s="14">
        <f t="shared" si="6"/>
        <v>651.73417492414967</v>
      </c>
      <c r="L19" s="15">
        <f t="shared" si="7"/>
        <v>22629.658851532975</v>
      </c>
      <c r="M19" s="16">
        <f t="shared" si="8"/>
        <v>6600</v>
      </c>
      <c r="N19" s="15">
        <f t="shared" si="9"/>
        <v>29229.658851532975</v>
      </c>
      <c r="O19" s="16">
        <f t="shared" si="10"/>
        <v>31410</v>
      </c>
      <c r="P19" s="15">
        <f t="shared" si="11"/>
        <v>2180.3411484670251</v>
      </c>
      <c r="Q19" s="15">
        <f t="shared" si="19"/>
        <v>2463.7906289988823</v>
      </c>
      <c r="R19" s="13">
        <f>IF(15&lt;=MES_MAXBED,15,"")</f>
        <v>15</v>
      </c>
      <c r="S19" s="14">
        <f t="shared" si="12"/>
        <v>813.25969846861108</v>
      </c>
      <c r="T19" s="15">
        <f t="shared" si="13"/>
        <v>26619.091987302276</v>
      </c>
      <c r="U19" s="16">
        <f t="shared" si="14"/>
        <v>13200</v>
      </c>
      <c r="V19" s="15">
        <f t="shared" si="15"/>
        <v>39819.091987302279</v>
      </c>
      <c r="W19" s="16">
        <f t="shared" si="16"/>
        <v>40500</v>
      </c>
      <c r="X19" s="15">
        <f t="shared" si="17"/>
        <v>680.90801269772055</v>
      </c>
      <c r="Y19" s="15">
        <f t="shared" si="20"/>
        <v>1983.9619249331008</v>
      </c>
    </row>
    <row r="20" spans="2:25" x14ac:dyDescent="0.45">
      <c r="B20" s="13">
        <f>IF(16&lt;=TOM_MAXBED,16,"")</f>
        <v>16</v>
      </c>
      <c r="C20" s="14">
        <f t="shared" si="0"/>
        <v>6616.761100354398</v>
      </c>
      <c r="D20" s="15">
        <f t="shared" si="1"/>
        <v>127374.32465893052</v>
      </c>
      <c r="E20" s="16">
        <f t="shared" si="2"/>
        <v>14080</v>
      </c>
      <c r="F20" s="15">
        <f t="shared" si="3"/>
        <v>141454.32465893053</v>
      </c>
      <c r="G20" s="16">
        <f t="shared" si="4"/>
        <v>140800</v>
      </c>
      <c r="H20" s="15">
        <f t="shared" si="5"/>
        <v>-654.3246589305345</v>
      </c>
      <c r="I20" s="15">
        <f t="shared" si="18"/>
        <v>17850.070688251115</v>
      </c>
      <c r="J20" s="13">
        <f>IF(16&lt;=CAR_MAXBED,16,"")</f>
        <v>16</v>
      </c>
      <c r="K20" s="14">
        <f t="shared" si="6"/>
        <v>712.5626979170703</v>
      </c>
      <c r="L20" s="15">
        <f t="shared" si="7"/>
        <v>24741.760344342718</v>
      </c>
      <c r="M20" s="16">
        <f t="shared" si="8"/>
        <v>7040</v>
      </c>
      <c r="N20" s="15">
        <f t="shared" si="9"/>
        <v>31781.760344342718</v>
      </c>
      <c r="O20" s="16">
        <f t="shared" si="10"/>
        <v>33504</v>
      </c>
      <c r="P20" s="15">
        <f t="shared" si="11"/>
        <v>1722.2396556572821</v>
      </c>
      <c r="Q20" s="15">
        <f t="shared" si="19"/>
        <v>2552.1014928097429</v>
      </c>
      <c r="R20" s="13">
        <f>IF(16&lt;=MES_MAXBED,16,"")</f>
        <v>16</v>
      </c>
      <c r="S20" s="14">
        <f t="shared" si="12"/>
        <v>878.32047434610013</v>
      </c>
      <c r="T20" s="15">
        <f t="shared" si="13"/>
        <v>27748.619346286461</v>
      </c>
      <c r="U20" s="16">
        <f t="shared" si="14"/>
        <v>14080</v>
      </c>
      <c r="V20" s="15">
        <f t="shared" si="15"/>
        <v>41828.619346286461</v>
      </c>
      <c r="W20" s="16">
        <f t="shared" si="16"/>
        <v>43200</v>
      </c>
      <c r="X20" s="15">
        <f t="shared" si="17"/>
        <v>1371.3806537135388</v>
      </c>
      <c r="Y20" s="15">
        <f t="shared" si="20"/>
        <v>2009.5273589841818</v>
      </c>
    </row>
    <row r="21" spans="2:25" x14ac:dyDescent="0.45">
      <c r="B21" s="13">
        <f>IF(17&lt;=TOM_MAXBED,17,"")</f>
        <v>17</v>
      </c>
      <c r="C21" s="14">
        <f t="shared" si="0"/>
        <v>7733.3395360392033</v>
      </c>
      <c r="D21" s="15">
        <f t="shared" si="1"/>
        <v>146759.36694512505</v>
      </c>
      <c r="E21" s="16">
        <f t="shared" si="2"/>
        <v>14960</v>
      </c>
      <c r="F21" s="15">
        <f t="shared" si="3"/>
        <v>161719.36694512505</v>
      </c>
      <c r="G21" s="16">
        <f t="shared" si="4"/>
        <v>149600</v>
      </c>
      <c r="H21" s="15">
        <f t="shared" si="5"/>
        <v>-12119.366945125046</v>
      </c>
      <c r="I21" s="15">
        <f t="shared" si="18"/>
        <v>20265.042286194512</v>
      </c>
      <c r="J21" s="13">
        <f>IF(17&lt;=CAR_MAXBED,17,"")</f>
        <v>17</v>
      </c>
      <c r="K21" s="14">
        <f t="shared" si="6"/>
        <v>776.02531320030937</v>
      </c>
      <c r="L21" s="15">
        <f t="shared" si="7"/>
        <v>25972.66168750537</v>
      </c>
      <c r="M21" s="16">
        <f t="shared" si="8"/>
        <v>7480</v>
      </c>
      <c r="N21" s="15">
        <f t="shared" si="9"/>
        <v>33452.661687505373</v>
      </c>
      <c r="O21" s="16">
        <f t="shared" si="10"/>
        <v>35598</v>
      </c>
      <c r="P21" s="15">
        <f t="shared" si="11"/>
        <v>2145.3383124946267</v>
      </c>
      <c r="Q21" s="15">
        <f t="shared" si="19"/>
        <v>1670.9013431626554</v>
      </c>
      <c r="R21" s="13">
        <f>IF(17&lt;=MES_MAXBED,17,"")</f>
        <v>17</v>
      </c>
      <c r="S21" s="14">
        <f t="shared" si="12"/>
        <v>944.88069779264049</v>
      </c>
      <c r="T21" s="15">
        <f t="shared" si="13"/>
        <v>28904.178781122231</v>
      </c>
      <c r="U21" s="16">
        <f t="shared" si="14"/>
        <v>14960</v>
      </c>
      <c r="V21" s="15">
        <f t="shared" si="15"/>
        <v>43864.178781122231</v>
      </c>
      <c r="W21" s="16">
        <f t="shared" si="16"/>
        <v>45900</v>
      </c>
      <c r="X21" s="15">
        <f t="shared" si="17"/>
        <v>2035.8212188777688</v>
      </c>
      <c r="Y21" s="15">
        <f t="shared" si="20"/>
        <v>2035.5594348357699</v>
      </c>
    </row>
    <row r="22" spans="2:25" x14ac:dyDescent="0.45">
      <c r="B22" s="13">
        <f>IF(18&lt;=TOM_MAXBED,18,"")</f>
        <v>18</v>
      </c>
      <c r="C22" s="14">
        <f t="shared" si="0"/>
        <v>9007.0660478574246</v>
      </c>
      <c r="D22" s="15">
        <f t="shared" si="1"/>
        <v>168872.67444196917</v>
      </c>
      <c r="E22" s="16">
        <f t="shared" si="2"/>
        <v>15840</v>
      </c>
      <c r="F22" s="15">
        <f t="shared" si="3"/>
        <v>184712.67444196917</v>
      </c>
      <c r="G22" s="16">
        <f t="shared" si="4"/>
        <v>158400</v>
      </c>
      <c r="H22" s="15">
        <f t="shared" si="5"/>
        <v>-26312.674441969168</v>
      </c>
      <c r="I22" s="15">
        <f t="shared" si="18"/>
        <v>22993.307496844121</v>
      </c>
      <c r="J22" s="13">
        <f>IF(18&lt;=CAR_MAXBED,18,"")</f>
        <v>18</v>
      </c>
      <c r="K22" s="14">
        <f t="shared" si="6"/>
        <v>842.2157075615122</v>
      </c>
      <c r="L22" s="15">
        <f t="shared" si="7"/>
        <v>27121.800478498477</v>
      </c>
      <c r="M22" s="16">
        <f t="shared" si="8"/>
        <v>7920</v>
      </c>
      <c r="N22" s="15">
        <f t="shared" si="9"/>
        <v>35041.800478498481</v>
      </c>
      <c r="O22" s="16">
        <f t="shared" si="10"/>
        <v>37692</v>
      </c>
      <c r="P22" s="15">
        <f t="shared" si="11"/>
        <v>2650.1995215015195</v>
      </c>
      <c r="Q22" s="15">
        <f t="shared" si="19"/>
        <v>1589.1387909931072</v>
      </c>
      <c r="R22" s="13">
        <f>IF(18&lt;=MES_MAXBED,18,"")</f>
        <v>18</v>
      </c>
      <c r="S22" s="14">
        <f t="shared" si="12"/>
        <v>1012.9676892512279</v>
      </c>
      <c r="T22" s="15">
        <f t="shared" si="13"/>
        <v>30086.244605056039</v>
      </c>
      <c r="U22" s="16">
        <f t="shared" si="14"/>
        <v>15840</v>
      </c>
      <c r="V22" s="15">
        <f t="shared" si="15"/>
        <v>45926.244605056039</v>
      </c>
      <c r="W22" s="16">
        <f t="shared" si="16"/>
        <v>48600</v>
      </c>
      <c r="X22" s="15">
        <f t="shared" si="17"/>
        <v>2673.7553949439607</v>
      </c>
      <c r="Y22" s="15">
        <f t="shared" si="20"/>
        <v>2062.0658239338081</v>
      </c>
    </row>
    <row r="23" spans="2:25" x14ac:dyDescent="0.45">
      <c r="B23" s="13">
        <f>IF(19&lt;=TOM_MAXBED,19,"")</f>
        <v>19</v>
      </c>
      <c r="C23" s="14">
        <f t="shared" si="0"/>
        <v>10458.204466678902</v>
      </c>
      <c r="D23" s="15">
        <f t="shared" si="1"/>
        <v>194066.04976873094</v>
      </c>
      <c r="E23" s="16">
        <f t="shared" si="2"/>
        <v>16720</v>
      </c>
      <c r="F23" s="15">
        <f t="shared" si="3"/>
        <v>210786.04976873094</v>
      </c>
      <c r="G23" s="16">
        <f t="shared" si="4"/>
        <v>167200</v>
      </c>
      <c r="H23" s="15">
        <f t="shared" si="5"/>
        <v>-43586.04976873094</v>
      </c>
      <c r="I23" s="15">
        <f t="shared" si="18"/>
        <v>26073.375326761772</v>
      </c>
      <c r="J23" s="13">
        <f>IF(19&lt;=CAR_MAXBED,19,"")</f>
        <v>19</v>
      </c>
      <c r="K23" s="14">
        <f t="shared" si="6"/>
        <v>911.23060582002495</v>
      </c>
      <c r="L23" s="15">
        <f t="shared" si="7"/>
        <v>28319.975795486545</v>
      </c>
      <c r="M23" s="16">
        <f t="shared" si="8"/>
        <v>8360</v>
      </c>
      <c r="N23" s="15">
        <f t="shared" si="9"/>
        <v>36679.975795486549</v>
      </c>
      <c r="O23" s="16">
        <f t="shared" si="10"/>
        <v>39786</v>
      </c>
      <c r="P23" s="15">
        <f t="shared" si="11"/>
        <v>3106.024204513451</v>
      </c>
      <c r="Q23" s="15">
        <f t="shared" si="19"/>
        <v>1638.1753169880685</v>
      </c>
      <c r="R23" s="13">
        <f>IF(19&lt;=MES_MAXBED,19,"")</f>
        <v>19</v>
      </c>
      <c r="S23" s="14">
        <f t="shared" si="12"/>
        <v>1082.6092178872495</v>
      </c>
      <c r="T23" s="15">
        <f t="shared" si="13"/>
        <v>31295.298921653637</v>
      </c>
      <c r="U23" s="16">
        <f t="shared" si="14"/>
        <v>16720</v>
      </c>
      <c r="V23" s="15">
        <f t="shared" si="15"/>
        <v>48015.298921653637</v>
      </c>
      <c r="W23" s="16">
        <f t="shared" si="16"/>
        <v>51300</v>
      </c>
      <c r="X23" s="15">
        <f t="shared" si="17"/>
        <v>3284.7010783463629</v>
      </c>
      <c r="Y23" s="15">
        <f t="shared" si="20"/>
        <v>2089.0543165975978</v>
      </c>
    </row>
    <row r="24" spans="2:25" x14ac:dyDescent="0.45">
      <c r="B24" s="13">
        <f>IF(20&lt;=TOM_MAXBED,20,"")</f>
        <v>20</v>
      </c>
      <c r="C24" s="14">
        <f t="shared" si="0"/>
        <v>12109.499908786096</v>
      </c>
      <c r="D24" s="15">
        <f t="shared" si="1"/>
        <v>222734.37341642528</v>
      </c>
      <c r="E24" s="16">
        <f t="shared" si="2"/>
        <v>17600</v>
      </c>
      <c r="F24" s="15">
        <f t="shared" si="3"/>
        <v>240334.37341642528</v>
      </c>
      <c r="G24" s="16">
        <f t="shared" si="4"/>
        <v>176000</v>
      </c>
      <c r="H24" s="15">
        <f t="shared" si="5"/>
        <v>-64334.373416425282</v>
      </c>
      <c r="I24" s="15">
        <f t="shared" si="18"/>
        <v>29548.323647694342</v>
      </c>
      <c r="J24" s="13">
        <f>IF(20&lt;=CAR_MAXBED,20,"")</f>
        <v>20</v>
      </c>
      <c r="K24" s="14">
        <f t="shared" si="6"/>
        <v>983.16986417423732</v>
      </c>
      <c r="L24" s="15">
        <f t="shared" si="7"/>
        <v>29568.921253024953</v>
      </c>
      <c r="M24" s="16">
        <f t="shared" si="8"/>
        <v>8800</v>
      </c>
      <c r="N24" s="15">
        <f t="shared" si="9"/>
        <v>38368.92125302495</v>
      </c>
      <c r="O24" s="16">
        <f t="shared" si="10"/>
        <v>41880</v>
      </c>
      <c r="P24" s="15">
        <f t="shared" si="11"/>
        <v>3511.0787469750503</v>
      </c>
      <c r="Q24" s="15">
        <f t="shared" si="19"/>
        <v>1688.9454575384007</v>
      </c>
      <c r="R24" s="13">
        <f>IF(20&lt;=MES_MAXBED,20,"")</f>
        <v>20</v>
      </c>
      <c r="S24" s="14">
        <f t="shared" si="12"/>
        <v>1153.8335085377266</v>
      </c>
      <c r="T24" s="15">
        <f t="shared" si="13"/>
        <v>32531.831745446641</v>
      </c>
      <c r="U24" s="16">
        <f t="shared" si="14"/>
        <v>17600</v>
      </c>
      <c r="V24" s="15">
        <f t="shared" si="15"/>
        <v>50131.831745446645</v>
      </c>
      <c r="W24" s="16">
        <f t="shared" si="16"/>
        <v>54000</v>
      </c>
      <c r="X24" s="15">
        <f t="shared" si="17"/>
        <v>3868.1682545533549</v>
      </c>
      <c r="Y24" s="15">
        <f t="shared" si="20"/>
        <v>2116.532823793008</v>
      </c>
    </row>
    <row r="25" spans="2:25" x14ac:dyDescent="0.45">
      <c r="B25" s="13" t="str">
        <f>IF(21&lt;=TOM_MAXBED,21,"")</f>
        <v/>
      </c>
      <c r="C25" s="14" t="str">
        <f t="shared" si="0"/>
        <v/>
      </c>
      <c r="D25" s="15" t="str">
        <f t="shared" si="1"/>
        <v/>
      </c>
      <c r="E25" s="16" t="str">
        <f t="shared" si="2"/>
        <v/>
      </c>
      <c r="F25" s="15" t="str">
        <f t="shared" si="3"/>
        <v/>
      </c>
      <c r="G25" s="16" t="str">
        <f t="shared" si="4"/>
        <v/>
      </c>
      <c r="H25" s="15" t="str">
        <f t="shared" si="5"/>
        <v/>
      </c>
      <c r="I25" s="15" t="str">
        <f t="shared" si="18"/>
        <v/>
      </c>
      <c r="J25" s="13">
        <f>IF(21&lt;=CAR_MAXBED,21,"")</f>
        <v>21</v>
      </c>
      <c r="K25" s="14">
        <f t="shared" si="6"/>
        <v>1058.1365663175229</v>
      </c>
      <c r="L25" s="15">
        <f t="shared" si="7"/>
        <v>30870.426498568107</v>
      </c>
      <c r="M25" s="16">
        <f t="shared" si="8"/>
        <v>9240</v>
      </c>
      <c r="N25" s="15">
        <f t="shared" si="9"/>
        <v>40110.426498568107</v>
      </c>
      <c r="O25" s="16">
        <f t="shared" si="10"/>
        <v>43974</v>
      </c>
      <c r="P25" s="15">
        <f t="shared" si="11"/>
        <v>3863.5735014318925</v>
      </c>
      <c r="Q25" s="15">
        <f t="shared" si="19"/>
        <v>1741.5052455431578</v>
      </c>
      <c r="R25" s="13">
        <f>IF(21&lt;=MES_MAXBED,21,"")</f>
        <v>21</v>
      </c>
      <c r="S25" s="14">
        <f t="shared" si="12"/>
        <v>1226.6692487641703</v>
      </c>
      <c r="T25" s="15">
        <f t="shared" si="13"/>
        <v>33796.341124377956</v>
      </c>
      <c r="U25" s="16">
        <f t="shared" si="14"/>
        <v>18480</v>
      </c>
      <c r="V25" s="15">
        <f t="shared" si="15"/>
        <v>52276.341124377956</v>
      </c>
      <c r="W25" s="16">
        <f t="shared" si="16"/>
        <v>56700</v>
      </c>
      <c r="X25" s="15">
        <f t="shared" si="17"/>
        <v>4423.6588756220444</v>
      </c>
      <c r="Y25" s="15">
        <f t="shared" si="20"/>
        <v>2144.5093789313105</v>
      </c>
    </row>
    <row r="26" spans="2:25" x14ac:dyDescent="0.45">
      <c r="B26" s="13" t="str">
        <f>IF(22&lt;=TOM_MAXBED,22,"")</f>
        <v/>
      </c>
      <c r="C26" s="14" t="str">
        <f t="shared" si="0"/>
        <v/>
      </c>
      <c r="D26" s="15" t="str">
        <f t="shared" si="1"/>
        <v/>
      </c>
      <c r="E26" s="16" t="str">
        <f t="shared" si="2"/>
        <v/>
      </c>
      <c r="F26" s="15" t="str">
        <f t="shared" si="3"/>
        <v/>
      </c>
      <c r="G26" s="16" t="str">
        <f t="shared" si="4"/>
        <v/>
      </c>
      <c r="H26" s="15" t="str">
        <f t="shared" si="5"/>
        <v/>
      </c>
      <c r="I26" s="15" t="str">
        <f t="shared" si="18"/>
        <v/>
      </c>
      <c r="J26" s="13" t="str">
        <f>IF(22&lt;=CAR_MAXBED,22,"")</f>
        <v/>
      </c>
      <c r="K26" s="14" t="str">
        <f t="shared" si="6"/>
        <v/>
      </c>
      <c r="L26" s="15" t="str">
        <f t="shared" si="7"/>
        <v/>
      </c>
      <c r="M26" s="16" t="str">
        <f t="shared" si="8"/>
        <v/>
      </c>
      <c r="N26" s="15" t="str">
        <f t="shared" si="9"/>
        <v/>
      </c>
      <c r="O26" s="16" t="str">
        <f t="shared" si="10"/>
        <v/>
      </c>
      <c r="P26" s="15" t="str">
        <f t="shared" si="11"/>
        <v/>
      </c>
      <c r="Q26" s="15" t="str">
        <f t="shared" si="19"/>
        <v/>
      </c>
      <c r="R26" s="13">
        <f>IF(22&lt;=MES_MAXBED,22,"")</f>
        <v>22</v>
      </c>
      <c r="S26" s="14">
        <f t="shared" si="12"/>
        <v>1301.1455960105666</v>
      </c>
      <c r="T26" s="15">
        <f t="shared" si="13"/>
        <v>35089.333264072338</v>
      </c>
      <c r="U26" s="16">
        <f t="shared" si="14"/>
        <v>19360</v>
      </c>
      <c r="V26" s="15">
        <f t="shared" si="15"/>
        <v>54449.333264072338</v>
      </c>
      <c r="W26" s="16">
        <f t="shared" si="16"/>
        <v>59400</v>
      </c>
      <c r="X26" s="15">
        <f t="shared" si="17"/>
        <v>4950.6667359276616</v>
      </c>
      <c r="Y26" s="15">
        <f t="shared" si="20"/>
        <v>2172.9921396943828</v>
      </c>
    </row>
    <row r="27" spans="2:25" x14ac:dyDescent="0.45">
      <c r="B27" s="13" t="str">
        <f>IF(23&lt;=TOM_MAXBED,23,"")</f>
        <v/>
      </c>
      <c r="C27" s="14" t="str">
        <f t="shared" si="0"/>
        <v/>
      </c>
      <c r="D27" s="15" t="str">
        <f t="shared" si="1"/>
        <v/>
      </c>
      <c r="E27" s="16" t="str">
        <f t="shared" si="2"/>
        <v/>
      </c>
      <c r="F27" s="15" t="str">
        <f t="shared" si="3"/>
        <v/>
      </c>
      <c r="G27" s="16" t="str">
        <f t="shared" si="4"/>
        <v/>
      </c>
      <c r="H27" s="15" t="str">
        <f t="shared" si="5"/>
        <v/>
      </c>
      <c r="I27" s="15" t="str">
        <f t="shared" si="18"/>
        <v/>
      </c>
      <c r="J27" s="13" t="str">
        <f>IF(23&lt;=CAR_MAXBED,23,"")</f>
        <v/>
      </c>
      <c r="K27" s="14" t="str">
        <f t="shared" si="6"/>
        <v/>
      </c>
      <c r="L27" s="15" t="str">
        <f t="shared" si="7"/>
        <v/>
      </c>
      <c r="M27" s="16" t="str">
        <f t="shared" si="8"/>
        <v/>
      </c>
      <c r="N27" s="15" t="str">
        <f t="shared" si="9"/>
        <v/>
      </c>
      <c r="O27" s="16" t="str">
        <f t="shared" si="10"/>
        <v/>
      </c>
      <c r="P27" s="15" t="str">
        <f t="shared" si="11"/>
        <v/>
      </c>
      <c r="Q27" s="15" t="str">
        <f t="shared" si="19"/>
        <v/>
      </c>
      <c r="R27" s="13">
        <f>IF(23&lt;=MES_MAXBED,23,"")</f>
        <v>23</v>
      </c>
      <c r="S27" s="14">
        <f t="shared" si="12"/>
        <v>1377.292184868003</v>
      </c>
      <c r="T27" s="15">
        <f t="shared" si="13"/>
        <v>36411.322653958385</v>
      </c>
      <c r="U27" s="16">
        <f t="shared" si="14"/>
        <v>20240</v>
      </c>
      <c r="V27" s="15">
        <f t="shared" si="15"/>
        <v>56651.322653958385</v>
      </c>
      <c r="W27" s="16">
        <f t="shared" si="16"/>
        <v>62100</v>
      </c>
      <c r="X27" s="15">
        <f t="shared" si="17"/>
        <v>5448.6773460416152</v>
      </c>
      <c r="Y27" s="15">
        <f t="shared" si="20"/>
        <v>2201.9893898860464</v>
      </c>
    </row>
    <row r="28" spans="2:25" x14ac:dyDescent="0.45">
      <c r="B28" s="13" t="str">
        <f>IF(24&lt;=TOM_MAXBED,24,"")</f>
        <v/>
      </c>
      <c r="C28" s="14" t="str">
        <f t="shared" si="0"/>
        <v/>
      </c>
      <c r="D28" s="15" t="str">
        <f t="shared" si="1"/>
        <v/>
      </c>
      <c r="E28" s="16" t="str">
        <f t="shared" si="2"/>
        <v/>
      </c>
      <c r="F28" s="15" t="str">
        <f t="shared" si="3"/>
        <v/>
      </c>
      <c r="G28" s="16" t="str">
        <f t="shared" si="4"/>
        <v/>
      </c>
      <c r="H28" s="15" t="str">
        <f t="shared" si="5"/>
        <v/>
      </c>
      <c r="I28" s="15" t="str">
        <f t="shared" si="18"/>
        <v/>
      </c>
      <c r="J28" s="13" t="str">
        <f>IF(24&lt;=CAR_MAXBED,24,"")</f>
        <v/>
      </c>
      <c r="K28" s="14" t="str">
        <f t="shared" si="6"/>
        <v/>
      </c>
      <c r="L28" s="15" t="str">
        <f t="shared" si="7"/>
        <v/>
      </c>
      <c r="M28" s="16" t="str">
        <f t="shared" si="8"/>
        <v/>
      </c>
      <c r="N28" s="15" t="str">
        <f t="shared" si="9"/>
        <v/>
      </c>
      <c r="O28" s="16" t="str">
        <f t="shared" si="10"/>
        <v/>
      </c>
      <c r="P28" s="15" t="str">
        <f t="shared" si="11"/>
        <v/>
      </c>
      <c r="Q28" s="15" t="str">
        <f t="shared" si="19"/>
        <v/>
      </c>
      <c r="R28" s="13">
        <f>IF(24&lt;=MES_MAXBED,24,"")</f>
        <v>24</v>
      </c>
      <c r="S28" s="14">
        <f t="shared" si="12"/>
        <v>1455.1391344474989</v>
      </c>
      <c r="T28" s="15">
        <f t="shared" si="13"/>
        <v>37762.832195269075</v>
      </c>
      <c r="U28" s="16">
        <f t="shared" si="14"/>
        <v>21120</v>
      </c>
      <c r="V28" s="15">
        <f t="shared" si="15"/>
        <v>58882.832195269075</v>
      </c>
      <c r="W28" s="16">
        <f t="shared" si="16"/>
        <v>64800</v>
      </c>
      <c r="X28" s="15">
        <f t="shared" si="17"/>
        <v>5917.1678047309251</v>
      </c>
      <c r="Y28" s="15">
        <f t="shared" si="20"/>
        <v>2231.5095413106901</v>
      </c>
    </row>
    <row r="29" spans="2:25" x14ac:dyDescent="0.45">
      <c r="B29" s="13" t="str">
        <f>IF(25&lt;=TOM_MAXBED,25,"")</f>
        <v/>
      </c>
      <c r="C29" s="14" t="str">
        <f t="shared" si="0"/>
        <v/>
      </c>
      <c r="D29" s="15" t="str">
        <f t="shared" si="1"/>
        <v/>
      </c>
      <c r="E29" s="16" t="str">
        <f t="shared" si="2"/>
        <v/>
      </c>
      <c r="F29" s="15" t="str">
        <f t="shared" si="3"/>
        <v/>
      </c>
      <c r="G29" s="16" t="str">
        <f t="shared" si="4"/>
        <v/>
      </c>
      <c r="H29" s="15" t="str">
        <f t="shared" si="5"/>
        <v/>
      </c>
      <c r="I29" s="15" t="str">
        <f t="shared" si="18"/>
        <v/>
      </c>
      <c r="J29" s="13" t="str">
        <f>IF(25&lt;=CAR_MAXBED,25,"")</f>
        <v/>
      </c>
      <c r="K29" s="14" t="str">
        <f t="shared" si="6"/>
        <v/>
      </c>
      <c r="L29" s="15" t="str">
        <f t="shared" si="7"/>
        <v/>
      </c>
      <c r="M29" s="16" t="str">
        <f t="shared" si="8"/>
        <v/>
      </c>
      <c r="N29" s="15" t="str">
        <f t="shared" si="9"/>
        <v/>
      </c>
      <c r="O29" s="16" t="str">
        <f t="shared" si="10"/>
        <v/>
      </c>
      <c r="P29" s="15" t="str">
        <f t="shared" si="11"/>
        <v/>
      </c>
      <c r="Q29" s="15" t="str">
        <f t="shared" si="19"/>
        <v/>
      </c>
      <c r="R29" s="13">
        <f>IF(25&lt;=MES_MAXBED,25,"")</f>
        <v>25</v>
      </c>
      <c r="S29" s="14">
        <f t="shared" si="12"/>
        <v>1534.7170558625965</v>
      </c>
      <c r="T29" s="15">
        <f t="shared" si="13"/>
        <v>39144.393330947853</v>
      </c>
      <c r="U29" s="16">
        <f t="shared" si="14"/>
        <v>22000</v>
      </c>
      <c r="V29" s="15">
        <f t="shared" si="15"/>
        <v>61144.393330947853</v>
      </c>
      <c r="W29" s="16">
        <f t="shared" si="16"/>
        <v>67500</v>
      </c>
      <c r="X29" s="15">
        <f t="shared" si="17"/>
        <v>6355.6066690521475</v>
      </c>
      <c r="Y29" s="15">
        <f t="shared" si="20"/>
        <v>2261.5611356787776</v>
      </c>
    </row>
    <row r="30" spans="2:25" x14ac:dyDescent="0.45">
      <c r="B30" s="13" t="str">
        <f>IF(26&lt;=TOM_MAXBED,26,"")</f>
        <v/>
      </c>
      <c r="C30" s="14" t="str">
        <f t="shared" si="0"/>
        <v/>
      </c>
      <c r="D30" s="15" t="str">
        <f t="shared" si="1"/>
        <v/>
      </c>
      <c r="E30" s="16" t="str">
        <f t="shared" si="2"/>
        <v/>
      </c>
      <c r="F30" s="15" t="str">
        <f t="shared" si="3"/>
        <v/>
      </c>
      <c r="G30" s="16" t="str">
        <f t="shared" si="4"/>
        <v/>
      </c>
      <c r="H30" s="15" t="str">
        <f t="shared" si="5"/>
        <v/>
      </c>
      <c r="I30" s="15" t="str">
        <f t="shared" si="18"/>
        <v/>
      </c>
      <c r="J30" s="13" t="str">
        <f>IF(26&lt;=CAR_MAXBED,26,"")</f>
        <v/>
      </c>
      <c r="K30" s="14" t="str">
        <f t="shared" si="6"/>
        <v/>
      </c>
      <c r="L30" s="15" t="str">
        <f t="shared" si="7"/>
        <v/>
      </c>
      <c r="M30" s="16" t="str">
        <f t="shared" si="8"/>
        <v/>
      </c>
      <c r="N30" s="15" t="str">
        <f t="shared" si="9"/>
        <v/>
      </c>
      <c r="O30" s="16" t="str">
        <f t="shared" si="10"/>
        <v/>
      </c>
      <c r="P30" s="15" t="str">
        <f t="shared" si="11"/>
        <v/>
      </c>
      <c r="Q30" s="15" t="str">
        <f t="shared" si="19"/>
        <v/>
      </c>
      <c r="R30" s="13">
        <f>IF(26&lt;=MES_MAXBED,26,"")</f>
        <v>26</v>
      </c>
      <c r="S30" s="14">
        <f t="shared" si="12"/>
        <v>1616.0570598233144</v>
      </c>
      <c r="T30" s="15">
        <f t="shared" si="13"/>
        <v>40556.546177488097</v>
      </c>
      <c r="U30" s="16">
        <f t="shared" si="14"/>
        <v>22880</v>
      </c>
      <c r="V30" s="15">
        <f t="shared" si="15"/>
        <v>63436.546177488097</v>
      </c>
      <c r="W30" s="16">
        <f t="shared" si="16"/>
        <v>70200</v>
      </c>
      <c r="X30" s="15">
        <f t="shared" si="17"/>
        <v>6763.4538225119031</v>
      </c>
      <c r="Y30" s="15">
        <f t="shared" si="20"/>
        <v>2292.1528465402444</v>
      </c>
    </row>
    <row r="31" spans="2:25" x14ac:dyDescent="0.45">
      <c r="B31" s="13" t="str">
        <f>IF(27&lt;=TOM_MAXBED,27,"")</f>
        <v/>
      </c>
      <c r="C31" s="14" t="str">
        <f t="shared" si="0"/>
        <v/>
      </c>
      <c r="D31" s="15" t="str">
        <f t="shared" si="1"/>
        <v/>
      </c>
      <c r="E31" s="16" t="str">
        <f t="shared" si="2"/>
        <v/>
      </c>
      <c r="F31" s="15" t="str">
        <f t="shared" si="3"/>
        <v/>
      </c>
      <c r="G31" s="16" t="str">
        <f t="shared" si="4"/>
        <v/>
      </c>
      <c r="H31" s="15" t="str">
        <f t="shared" si="5"/>
        <v/>
      </c>
      <c r="I31" s="15" t="str">
        <f t="shared" si="18"/>
        <v/>
      </c>
      <c r="J31" s="13" t="str">
        <f>IF(27&lt;=CAR_MAXBED,27,"")</f>
        <v/>
      </c>
      <c r="K31" s="14" t="str">
        <f t="shared" si="6"/>
        <v/>
      </c>
      <c r="L31" s="15" t="str">
        <f t="shared" si="7"/>
        <v/>
      </c>
      <c r="M31" s="16" t="str">
        <f t="shared" si="8"/>
        <v/>
      </c>
      <c r="N31" s="15" t="str">
        <f t="shared" si="9"/>
        <v/>
      </c>
      <c r="O31" s="16" t="str">
        <f t="shared" si="10"/>
        <v/>
      </c>
      <c r="P31" s="15" t="str">
        <f t="shared" si="11"/>
        <v/>
      </c>
      <c r="Q31" s="15" t="str">
        <f t="shared" si="19"/>
        <v/>
      </c>
      <c r="R31" s="13">
        <f>IF(27&lt;=MES_MAXBED,27,"")</f>
        <v>27</v>
      </c>
      <c r="S31" s="14">
        <f t="shared" si="12"/>
        <v>1699.1907643430709</v>
      </c>
      <c r="T31" s="15">
        <f t="shared" si="13"/>
        <v>41999.839658733865</v>
      </c>
      <c r="U31" s="16">
        <f t="shared" si="14"/>
        <v>23760</v>
      </c>
      <c r="V31" s="15">
        <f t="shared" si="15"/>
        <v>65759.839658733865</v>
      </c>
      <c r="W31" s="16">
        <f t="shared" si="16"/>
        <v>72900</v>
      </c>
      <c r="X31" s="15">
        <f t="shared" si="17"/>
        <v>7140.1603412661352</v>
      </c>
      <c r="Y31" s="15">
        <f t="shared" si="20"/>
        <v>2323.2934812457679</v>
      </c>
    </row>
    <row r="32" spans="2:25" x14ac:dyDescent="0.45">
      <c r="B32" s="13" t="str">
        <f>IF(28&lt;=TOM_MAXBED,28,"")</f>
        <v/>
      </c>
      <c r="C32" s="14" t="str">
        <f t="shared" si="0"/>
        <v/>
      </c>
      <c r="D32" s="15" t="str">
        <f t="shared" si="1"/>
        <v/>
      </c>
      <c r="E32" s="16" t="str">
        <f t="shared" si="2"/>
        <v/>
      </c>
      <c r="F32" s="15" t="str">
        <f t="shared" si="3"/>
        <v/>
      </c>
      <c r="G32" s="16" t="str">
        <f t="shared" si="4"/>
        <v/>
      </c>
      <c r="H32" s="15" t="str">
        <f t="shared" si="5"/>
        <v/>
      </c>
      <c r="I32" s="15" t="str">
        <f t="shared" si="18"/>
        <v/>
      </c>
      <c r="J32" s="13" t="str">
        <f>IF(28&lt;=CAR_MAXBED,28,"")</f>
        <v/>
      </c>
      <c r="K32" s="14" t="str">
        <f t="shared" si="6"/>
        <v/>
      </c>
      <c r="L32" s="15" t="str">
        <f t="shared" si="7"/>
        <v/>
      </c>
      <c r="M32" s="16" t="str">
        <f t="shared" si="8"/>
        <v/>
      </c>
      <c r="N32" s="15" t="str">
        <f t="shared" si="9"/>
        <v/>
      </c>
      <c r="O32" s="16" t="str">
        <f t="shared" si="10"/>
        <v/>
      </c>
      <c r="P32" s="15" t="str">
        <f t="shared" si="11"/>
        <v/>
      </c>
      <c r="Q32" s="15" t="str">
        <f t="shared" si="19"/>
        <v/>
      </c>
      <c r="R32" s="13">
        <f>IF(28&lt;=MES_MAXBED,28,"")</f>
        <v>28</v>
      </c>
      <c r="S32" s="14">
        <f t="shared" si="12"/>
        <v>1784.1503025602246</v>
      </c>
      <c r="T32" s="15">
        <f t="shared" si="13"/>
        <v>43474.831641670564</v>
      </c>
      <c r="U32" s="16">
        <f t="shared" si="14"/>
        <v>24640</v>
      </c>
      <c r="V32" s="15">
        <f t="shared" si="15"/>
        <v>68114.831641670564</v>
      </c>
      <c r="W32" s="16">
        <f t="shared" si="16"/>
        <v>75600</v>
      </c>
      <c r="X32" s="15">
        <f t="shared" si="17"/>
        <v>7485.1683583294362</v>
      </c>
      <c r="Y32" s="15">
        <f t="shared" si="20"/>
        <v>2354.9919829366991</v>
      </c>
    </row>
    <row r="33" spans="2:25" x14ac:dyDescent="0.45">
      <c r="B33" s="13" t="str">
        <f>IF(29&lt;=TOM_MAXBED,29,"")</f>
        <v/>
      </c>
      <c r="C33" s="14" t="str">
        <f t="shared" si="0"/>
        <v/>
      </c>
      <c r="D33" s="15" t="str">
        <f t="shared" si="1"/>
        <v/>
      </c>
      <c r="E33" s="16" t="str">
        <f t="shared" si="2"/>
        <v/>
      </c>
      <c r="F33" s="15" t="str">
        <f t="shared" si="3"/>
        <v/>
      </c>
      <c r="G33" s="16" t="str">
        <f t="shared" si="4"/>
        <v/>
      </c>
      <c r="H33" s="15" t="str">
        <f t="shared" si="5"/>
        <v/>
      </c>
      <c r="I33" s="15" t="str">
        <f t="shared" si="18"/>
        <v/>
      </c>
      <c r="J33" s="13" t="str">
        <f>IF(29&lt;=CAR_MAXBED,29,"")</f>
        <v/>
      </c>
      <c r="K33" s="14" t="str">
        <f t="shared" si="6"/>
        <v/>
      </c>
      <c r="L33" s="15" t="str">
        <f t="shared" si="7"/>
        <v/>
      </c>
      <c r="M33" s="16" t="str">
        <f t="shared" si="8"/>
        <v/>
      </c>
      <c r="N33" s="15" t="str">
        <f t="shared" si="9"/>
        <v/>
      </c>
      <c r="O33" s="16" t="str">
        <f t="shared" si="10"/>
        <v/>
      </c>
      <c r="P33" s="15" t="str">
        <f t="shared" si="11"/>
        <v/>
      </c>
      <c r="Q33" s="15" t="str">
        <f t="shared" si="19"/>
        <v/>
      </c>
      <c r="R33" s="13">
        <f>IF(29&lt;=MES_MAXBED,29,"")</f>
        <v>29</v>
      </c>
      <c r="S33" s="14">
        <f t="shared" si="12"/>
        <v>1870.9683306758782</v>
      </c>
      <c r="T33" s="15">
        <f t="shared" si="13"/>
        <v>44982.089074233998</v>
      </c>
      <c r="U33" s="16">
        <f t="shared" si="14"/>
        <v>25520</v>
      </c>
      <c r="V33" s="15">
        <f t="shared" si="15"/>
        <v>70502.089074233998</v>
      </c>
      <c r="W33" s="16">
        <f t="shared" si="16"/>
        <v>78300</v>
      </c>
      <c r="X33" s="15">
        <f t="shared" si="17"/>
        <v>7797.910925766002</v>
      </c>
      <c r="Y33" s="15">
        <f t="shared" si="20"/>
        <v>2387.2574325634341</v>
      </c>
    </row>
    <row r="34" spans="2:25" x14ac:dyDescent="0.45">
      <c r="B34" s="13" t="str">
        <f>IF(30&lt;=TOM_MAXBED,30,"")</f>
        <v/>
      </c>
      <c r="C34" s="14" t="str">
        <f t="shared" si="0"/>
        <v/>
      </c>
      <c r="D34" s="15" t="str">
        <f t="shared" si="1"/>
        <v/>
      </c>
      <c r="E34" s="16" t="str">
        <f t="shared" si="2"/>
        <v/>
      </c>
      <c r="F34" s="15" t="str">
        <f t="shared" si="3"/>
        <v/>
      </c>
      <c r="G34" s="16" t="str">
        <f t="shared" si="4"/>
        <v/>
      </c>
      <c r="H34" s="15" t="str">
        <f t="shared" si="5"/>
        <v/>
      </c>
      <c r="I34" s="15" t="str">
        <f t="shared" si="18"/>
        <v/>
      </c>
      <c r="J34" s="13" t="str">
        <f>IF(30&lt;=CAR_MAXBED,30,"")</f>
        <v/>
      </c>
      <c r="K34" s="14" t="str">
        <f t="shared" si="6"/>
        <v/>
      </c>
      <c r="L34" s="15" t="str">
        <f t="shared" si="7"/>
        <v/>
      </c>
      <c r="M34" s="16" t="str">
        <f t="shared" si="8"/>
        <v/>
      </c>
      <c r="N34" s="15" t="str">
        <f t="shared" si="9"/>
        <v/>
      </c>
      <c r="O34" s="16" t="str">
        <f t="shared" si="10"/>
        <v/>
      </c>
      <c r="P34" s="15" t="str">
        <f t="shared" si="11"/>
        <v/>
      </c>
      <c r="Q34" s="15" t="str">
        <f t="shared" si="19"/>
        <v/>
      </c>
      <c r="R34" s="13">
        <f>IF(30&lt;=MES_MAXBED,30,"")</f>
        <v>30</v>
      </c>
      <c r="S34" s="14">
        <f t="shared" si="12"/>
        <v>1959.6780360096488</v>
      </c>
      <c r="T34" s="15">
        <f t="shared" si="13"/>
        <v>46522.188125167515</v>
      </c>
      <c r="U34" s="16">
        <f t="shared" si="14"/>
        <v>26400</v>
      </c>
      <c r="V34" s="15">
        <f t="shared" si="15"/>
        <v>72922.188125167508</v>
      </c>
      <c r="W34" s="16">
        <f t="shared" si="16"/>
        <v>81000</v>
      </c>
      <c r="X34" s="15">
        <f t="shared" si="17"/>
        <v>8077.8118748324923</v>
      </c>
      <c r="Y34" s="15">
        <f t="shared" si="20"/>
        <v>2420.0990509335097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showGridLines="0" topLeftCell="A5" zoomScale="90" zoomScaleNormal="90" workbookViewId="0">
      <selection activeCell="B9" sqref="B9"/>
    </sheetView>
  </sheetViews>
  <sheetFormatPr defaultColWidth="8.6640625" defaultRowHeight="14.25" x14ac:dyDescent="0.45"/>
  <cols>
    <col min="1" max="1" width="30" customWidth="1"/>
    <col min="2" max="2" width="18" customWidth="1"/>
    <col min="3" max="3" width="50" customWidth="1"/>
  </cols>
  <sheetData>
    <row r="1" spans="1:5" ht="17.649999999999999" x14ac:dyDescent="0.5">
      <c r="A1" s="1" t="s">
        <v>63</v>
      </c>
    </row>
    <row r="2" spans="1:5" x14ac:dyDescent="0.45">
      <c r="A2" s="17" t="s">
        <v>64</v>
      </c>
    </row>
    <row r="4" spans="1:5" ht="15.4" x14ac:dyDescent="0.45">
      <c r="A4" s="2" t="s">
        <v>65</v>
      </c>
      <c r="E4">
        <f>TOM_BEDS+CAR_BEDS+MES_BEDS</f>
        <v>60</v>
      </c>
    </row>
    <row r="5" spans="1:5" x14ac:dyDescent="0.45">
      <c r="A5" s="3" t="s">
        <v>2</v>
      </c>
      <c r="B5" s="3" t="s">
        <v>3</v>
      </c>
      <c r="C5" s="3" t="s">
        <v>66</v>
      </c>
    </row>
    <row r="6" spans="1:5" x14ac:dyDescent="0.45">
      <c r="A6" s="4" t="s">
        <v>67</v>
      </c>
      <c r="B6" s="9">
        <v>10</v>
      </c>
      <c r="C6" s="6" t="s">
        <v>68</v>
      </c>
    </row>
    <row r="7" spans="1:5" x14ac:dyDescent="0.45">
      <c r="A7" s="4" t="s">
        <v>69</v>
      </c>
      <c r="B7" s="9">
        <v>20</v>
      </c>
      <c r="C7" s="6" t="s">
        <v>70</v>
      </c>
    </row>
    <row r="8" spans="1:5" x14ac:dyDescent="0.45">
      <c r="A8" s="4" t="s">
        <v>71</v>
      </c>
      <c r="B8" s="9">
        <v>30</v>
      </c>
      <c r="C8" s="6" t="s">
        <v>72</v>
      </c>
    </row>
    <row r="10" spans="1:5" ht="15.4" x14ac:dyDescent="0.45">
      <c r="A10" s="2" t="s">
        <v>73</v>
      </c>
    </row>
    <row r="11" spans="1:5" x14ac:dyDescent="0.45">
      <c r="A11" s="3" t="s">
        <v>2</v>
      </c>
      <c r="B11" s="3" t="s">
        <v>3</v>
      </c>
      <c r="C11" s="3" t="s">
        <v>66</v>
      </c>
    </row>
    <row r="12" spans="1:5" x14ac:dyDescent="0.45">
      <c r="A12" s="4" t="s">
        <v>74</v>
      </c>
      <c r="B12" s="14">
        <f>IF(TOM_BEDS=0,0,TOM_BEDS*TOM_HRS*WEEKS*(1+TOM_DIM)^TOM_BEDS)</f>
        <v>2334.3682140900019</v>
      </c>
      <c r="C12" s="18" t="s">
        <v>75</v>
      </c>
    </row>
    <row r="13" spans="1:5" x14ac:dyDescent="0.45">
      <c r="A13" s="4" t="s">
        <v>76</v>
      </c>
      <c r="B13" s="14">
        <f>IF(CAR_BEDS=0,0,CAR_BEDS*CAR_HRS*WEEKS*(1+CAR_DIM)^CAR_BEDS)</f>
        <v>983.16986417423732</v>
      </c>
      <c r="C13" s="18" t="s">
        <v>77</v>
      </c>
    </row>
    <row r="14" spans="1:5" x14ac:dyDescent="0.45">
      <c r="A14" s="4" t="s">
        <v>78</v>
      </c>
      <c r="B14" s="14">
        <f>IF(MES_BEDS=0,0,MES_BEDS*MES_HRS*WEEKS*(1+MES_DIM)^MES_BEDS)</f>
        <v>1959.6780360096488</v>
      </c>
      <c r="C14" s="18" t="s">
        <v>79</v>
      </c>
    </row>
    <row r="15" spans="1:5" x14ac:dyDescent="0.45">
      <c r="A15" s="4" t="s">
        <v>80</v>
      </c>
      <c r="B15" s="14">
        <f>LH_TOM+LH_CAR+LH_MES</f>
        <v>5277.2161142738878</v>
      </c>
      <c r="C15" s="18" t="s">
        <v>81</v>
      </c>
    </row>
    <row r="16" spans="1:5" ht="28.5" x14ac:dyDescent="0.45">
      <c r="A16" s="4" t="s">
        <v>82</v>
      </c>
      <c r="B16" s="13">
        <f>ROUNDUP(MAX(0,TOTAL_LABOR_HRS-FARMER_HRS)/TEMP_HRS_EACH,0)</f>
        <v>4</v>
      </c>
      <c r="C16" s="18" t="s">
        <v>83</v>
      </c>
    </row>
    <row r="17" spans="1:3" ht="28.5" x14ac:dyDescent="0.45">
      <c r="A17" s="4" t="s">
        <v>84</v>
      </c>
      <c r="B17" s="15">
        <f>MIN(TOTAL_LABOR_HRS,FARMER_HRS)*FARMER_RATE+MAX(0,TOTAL_LABOR_HRS-FARMER_HRS)*TEMP_RATE</f>
        <v>104118.335317255</v>
      </c>
      <c r="C17" s="18" t="s">
        <v>85</v>
      </c>
    </row>
    <row r="18" spans="1:3" ht="28.5" x14ac:dyDescent="0.45">
      <c r="A18" s="4" t="s">
        <v>86</v>
      </c>
      <c r="B18" s="19">
        <f>IF(TOTAL_LABOR_HRS=0,0,TOTAL_LABOR_COST/TOTAL_LABOR_HRS)</f>
        <v>19.729784239010844</v>
      </c>
      <c r="C18" s="18" t="s">
        <v>87</v>
      </c>
    </row>
    <row r="20" spans="1:3" ht="15.4" x14ac:dyDescent="0.45">
      <c r="A20" s="2" t="s">
        <v>61</v>
      </c>
    </row>
    <row r="21" spans="1:3" x14ac:dyDescent="0.45">
      <c r="A21" s="3" t="s">
        <v>2</v>
      </c>
      <c r="B21" s="3" t="s">
        <v>3</v>
      </c>
      <c r="C21" s="3" t="s">
        <v>66</v>
      </c>
    </row>
    <row r="22" spans="1:3" x14ac:dyDescent="0.45">
      <c r="A22" s="4" t="s">
        <v>88</v>
      </c>
      <c r="B22" s="15">
        <f>(LH_TOM*EFFECTIVE_RATE)+(TOM_BEDS*TOM_FERT)</f>
        <v>54856.581198400811</v>
      </c>
      <c r="C22" s="18" t="s">
        <v>89</v>
      </c>
    </row>
    <row r="23" spans="1:3" x14ac:dyDescent="0.45">
      <c r="A23" s="4" t="s">
        <v>90</v>
      </c>
      <c r="B23" s="15">
        <f>(LH_CAR*EFFECTIVE_RATE)+(CAR_BEDS*CAR_FERT)</f>
        <v>28197.7292904553</v>
      </c>
      <c r="C23" s="18" t="s">
        <v>91</v>
      </c>
    </row>
    <row r="24" spans="1:3" x14ac:dyDescent="0.45">
      <c r="A24" s="4" t="s">
        <v>92</v>
      </c>
      <c r="B24" s="15">
        <f>(LH_MES*EFFECTIVE_RATE)+(MES_BEDS*MES_FERT)</f>
        <v>65064.024828398891</v>
      </c>
      <c r="C24" s="18" t="s">
        <v>93</v>
      </c>
    </row>
    <row r="25" spans="1:3" x14ac:dyDescent="0.45">
      <c r="A25" s="4" t="s">
        <v>94</v>
      </c>
      <c r="B25" s="16">
        <f>TOM_BEDS*TOM_PRICE</f>
        <v>88000</v>
      </c>
      <c r="C25" s="18" t="s">
        <v>95</v>
      </c>
    </row>
    <row r="26" spans="1:3" x14ac:dyDescent="0.45">
      <c r="A26" s="4" t="s">
        <v>96</v>
      </c>
      <c r="B26" s="16">
        <f>CAR_BEDS*CAR_PRICE</f>
        <v>41880</v>
      </c>
      <c r="C26" s="18" t="s">
        <v>97</v>
      </c>
    </row>
    <row r="27" spans="1:3" x14ac:dyDescent="0.45">
      <c r="A27" s="4" t="s">
        <v>98</v>
      </c>
      <c r="B27" s="16">
        <f>MES_BEDS*MES_PRICE</f>
        <v>81000</v>
      </c>
      <c r="C27" s="18" t="s">
        <v>99</v>
      </c>
    </row>
    <row r="28" spans="1:3" x14ac:dyDescent="0.45">
      <c r="A28" s="4" t="s">
        <v>100</v>
      </c>
      <c r="B28" s="15">
        <f>REV_TOM-COST_TOM</f>
        <v>33143.418801599189</v>
      </c>
      <c r="C28" s="18" t="s">
        <v>101</v>
      </c>
    </row>
    <row r="29" spans="1:3" x14ac:dyDescent="0.45">
      <c r="A29" s="4" t="s">
        <v>102</v>
      </c>
      <c r="B29" s="15">
        <f>REV_CAR-COST_CAR</f>
        <v>13682.2707095447</v>
      </c>
      <c r="C29" s="18" t="s">
        <v>103</v>
      </c>
    </row>
    <row r="30" spans="1:3" x14ac:dyDescent="0.45">
      <c r="A30" s="4" t="s">
        <v>104</v>
      </c>
      <c r="B30" s="15">
        <f>REV_MES-COST_MES</f>
        <v>15935.975171601109</v>
      </c>
      <c r="C30" s="18" t="s">
        <v>105</v>
      </c>
    </row>
    <row r="31" spans="1:3" x14ac:dyDescent="0.45">
      <c r="A31" s="4" t="s">
        <v>106</v>
      </c>
      <c r="B31" s="15">
        <f>PROFIT_TOM+PROFIT_CAR+PROFIT_MES-FIXED_COSTS</f>
        <v>42761.664682745002</v>
      </c>
      <c r="C31" s="18" t="s">
        <v>107</v>
      </c>
    </row>
    <row r="33" spans="1:3" ht="15.4" x14ac:dyDescent="0.45">
      <c r="A33" s="2" t="s">
        <v>108</v>
      </c>
    </row>
    <row r="34" spans="1:3" x14ac:dyDescent="0.45">
      <c r="A34" s="3" t="s">
        <v>109</v>
      </c>
      <c r="B34" s="3" t="s">
        <v>110</v>
      </c>
      <c r="C34" s="3" t="s">
        <v>111</v>
      </c>
    </row>
    <row r="35" spans="1:3" x14ac:dyDescent="0.45">
      <c r="A35" s="4" t="s">
        <v>112</v>
      </c>
      <c r="B35" s="20" t="str">
        <f>IF(TOM_BEDS&lt;=TOM_MAXBED,"OK","VIOLATED")</f>
        <v>OK</v>
      </c>
      <c r="C35" s="18" t="s">
        <v>113</v>
      </c>
    </row>
    <row r="36" spans="1:3" x14ac:dyDescent="0.45">
      <c r="A36" s="4" t="s">
        <v>114</v>
      </c>
      <c r="B36" s="20" t="str">
        <f>IF(CAR_BEDS&lt;=CAR_MAXBED,"OK","VIOLATED")</f>
        <v>OK</v>
      </c>
      <c r="C36" s="18" t="s">
        <v>113</v>
      </c>
    </row>
    <row r="37" spans="1:3" x14ac:dyDescent="0.45">
      <c r="A37" s="4" t="s">
        <v>115</v>
      </c>
      <c r="B37" s="20" t="str">
        <f>IF(MES_BEDS&lt;=MES_MAXBED,"OK","VIOLATED")</f>
        <v>OK</v>
      </c>
      <c r="C37" s="18" t="s">
        <v>113</v>
      </c>
    </row>
    <row r="38" spans="1:3" x14ac:dyDescent="0.45">
      <c r="A38" s="4" t="s">
        <v>116</v>
      </c>
      <c r="B38" s="20" t="str">
        <f>IF(TOM_BEDS+CAR_BEDS+MES_BEDS&lt;=TOTAL_BED_CAP,"OK","VIOLATED")</f>
        <v>OK</v>
      </c>
      <c r="C38" s="18" t="s">
        <v>117</v>
      </c>
    </row>
    <row r="39" spans="1:3" x14ac:dyDescent="0.45">
      <c r="A39" s="4" t="s">
        <v>118</v>
      </c>
      <c r="B39" s="20" t="str">
        <f>IF(TEMP_WORKERS&lt;=TEMP_MAX,"OK","VIOLATED")</f>
        <v>OK</v>
      </c>
      <c r="C39" s="18" t="s">
        <v>119</v>
      </c>
    </row>
    <row r="40" spans="1:3" ht="28.5" x14ac:dyDescent="0.45">
      <c r="A40" s="4" t="s">
        <v>120</v>
      </c>
      <c r="B40" s="20" t="str">
        <f>IF(TOTAL_LABOR_HRS&lt;=FARMER_HRS+TEMP_MAX*TEMP_HRS_EACH,"OK","VIOLATED")</f>
        <v>OK</v>
      </c>
      <c r="C40" s="18" t="s">
        <v>121</v>
      </c>
    </row>
    <row r="41" spans="1:3" ht="28.5" x14ac:dyDescent="0.45">
      <c r="A41" s="4" t="s">
        <v>122</v>
      </c>
      <c r="B41" s="20" t="str">
        <f>IF(AND(MOD(TOM_BEDS,1)=0,MOD(CAR_BEDS,1)=0,MOD(MES_BEDS,1)=0),"OK","VIOLATED")</f>
        <v>OK</v>
      </c>
      <c r="C41" s="18" t="s">
        <v>123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showGridLines="0" topLeftCell="A6" zoomScaleNormal="100" workbookViewId="0">
      <selection activeCell="B23" sqref="B23"/>
    </sheetView>
  </sheetViews>
  <sheetFormatPr defaultColWidth="8.6640625" defaultRowHeight="14.25" x14ac:dyDescent="0.45"/>
  <cols>
    <col min="1" max="1" width="24" customWidth="1"/>
    <col min="2" max="2" width="18" customWidth="1"/>
    <col min="3" max="3" width="50" customWidth="1"/>
  </cols>
  <sheetData>
    <row r="1" spans="1:3" ht="17.649999999999999" x14ac:dyDescent="0.5">
      <c r="A1" s="1" t="s">
        <v>124</v>
      </c>
    </row>
    <row r="2" spans="1:3" x14ac:dyDescent="0.45">
      <c r="A2" s="17" t="s">
        <v>125</v>
      </c>
    </row>
    <row r="4" spans="1:3" x14ac:dyDescent="0.45">
      <c r="A4" s="3" t="s">
        <v>2</v>
      </c>
      <c r="B4" s="3" t="s">
        <v>3</v>
      </c>
      <c r="C4" s="3" t="s">
        <v>126</v>
      </c>
    </row>
    <row r="5" spans="1:3" x14ac:dyDescent="0.45">
      <c r="A5" s="4" t="s">
        <v>127</v>
      </c>
      <c r="B5" s="21">
        <f>TOM_BEDS</f>
        <v>10</v>
      </c>
      <c r="C5" s="18" t="s">
        <v>128</v>
      </c>
    </row>
    <row r="6" spans="1:3" x14ac:dyDescent="0.45">
      <c r="A6" s="4" t="s">
        <v>129</v>
      </c>
      <c r="B6" s="21">
        <f>CAR_BEDS</f>
        <v>20</v>
      </c>
      <c r="C6" s="18" t="s">
        <v>130</v>
      </c>
    </row>
    <row r="7" spans="1:3" x14ac:dyDescent="0.45">
      <c r="A7" s="4" t="s">
        <v>131</v>
      </c>
      <c r="B7" s="21">
        <f>MES_BEDS</f>
        <v>30</v>
      </c>
      <c r="C7" s="18" t="s">
        <v>132</v>
      </c>
    </row>
    <row r="8" spans="1:3" x14ac:dyDescent="0.45">
      <c r="A8" s="4" t="s">
        <v>133</v>
      </c>
      <c r="B8" s="21">
        <f>TOM_BEDS+CAR_BEDS+MES_BEDS</f>
        <v>60</v>
      </c>
      <c r="C8" s="18" t="s">
        <v>134</v>
      </c>
    </row>
    <row r="9" spans="1:3" x14ac:dyDescent="0.45">
      <c r="A9" s="4" t="s">
        <v>135</v>
      </c>
      <c r="B9" s="21">
        <f>TEMP_WORKERS</f>
        <v>4</v>
      </c>
      <c r="C9" s="18" t="s">
        <v>136</v>
      </c>
    </row>
    <row r="10" spans="1:3" x14ac:dyDescent="0.45">
      <c r="A10" s="4" t="s">
        <v>137</v>
      </c>
      <c r="B10" s="22">
        <f>PROFIT_TOM</f>
        <v>33143.418801599189</v>
      </c>
      <c r="C10" s="18" t="s">
        <v>138</v>
      </c>
    </row>
    <row r="11" spans="1:3" x14ac:dyDescent="0.45">
      <c r="A11" s="4" t="s">
        <v>139</v>
      </c>
      <c r="B11" s="22">
        <f>PROFIT_CAR</f>
        <v>13682.2707095447</v>
      </c>
      <c r="C11" s="18" t="s">
        <v>140</v>
      </c>
    </row>
    <row r="12" spans="1:3" x14ac:dyDescent="0.45">
      <c r="A12" s="4" t="s">
        <v>141</v>
      </c>
      <c r="B12" s="22">
        <f>PROFIT_MES</f>
        <v>15935.975171601109</v>
      </c>
      <c r="C12" s="18" t="s">
        <v>142</v>
      </c>
    </row>
    <row r="13" spans="1:3" x14ac:dyDescent="0.45">
      <c r="A13" s="4" t="s">
        <v>143</v>
      </c>
      <c r="B13" s="22">
        <f>TOTAL_PROFIT</f>
        <v>42761.664682745002</v>
      </c>
      <c r="C13" s="18" t="s">
        <v>144</v>
      </c>
    </row>
    <row r="15" spans="1:3" ht="15.4" x14ac:dyDescent="0.45">
      <c r="A15" s="2" t="s">
        <v>145</v>
      </c>
    </row>
    <row r="16" spans="1:3" ht="41.75" customHeight="1" x14ac:dyDescent="0.45">
      <c r="A16" s="30" t="s">
        <v>146</v>
      </c>
      <c r="B16" s="30"/>
      <c r="C16" s="30"/>
    </row>
    <row r="17" spans="1:3" x14ac:dyDescent="0.45">
      <c r="A17" s="3" t="s">
        <v>2</v>
      </c>
      <c r="B17" s="3" t="s">
        <v>3</v>
      </c>
      <c r="C17" s="3" t="s">
        <v>126</v>
      </c>
    </row>
    <row r="18" spans="1:3" x14ac:dyDescent="0.45">
      <c r="A18" s="4" t="s">
        <v>147</v>
      </c>
      <c r="B18" s="23">
        <v>0</v>
      </c>
      <c r="C18" s="18" t="s">
        <v>148</v>
      </c>
    </row>
    <row r="19" spans="1:3" x14ac:dyDescent="0.45">
      <c r="A19" s="4" t="s">
        <v>149</v>
      </c>
      <c r="B19" s="23">
        <v>352.5</v>
      </c>
      <c r="C19" s="18" t="s">
        <v>150</v>
      </c>
    </row>
    <row r="20" spans="1:3" ht="28.5" x14ac:dyDescent="0.45">
      <c r="A20" s="4" t="s">
        <v>151</v>
      </c>
      <c r="B20" s="23">
        <v>246.48</v>
      </c>
      <c r="C20" s="18" t="s">
        <v>152</v>
      </c>
    </row>
    <row r="21" spans="1:3" ht="28.5" x14ac:dyDescent="0.45">
      <c r="A21" s="4" t="s">
        <v>153</v>
      </c>
      <c r="B21" s="23">
        <v>0</v>
      </c>
      <c r="C21" s="18" t="s">
        <v>154</v>
      </c>
    </row>
    <row r="22" spans="1:3" x14ac:dyDescent="0.45">
      <c r="A22" s="4" t="s">
        <v>155</v>
      </c>
      <c r="B22" s="23">
        <v>0</v>
      </c>
      <c r="C22" s="18" t="s">
        <v>156</v>
      </c>
    </row>
  </sheetData>
  <mergeCells count="1"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BEE8-C51F-4F11-AF1F-DD0E88D764A6}">
  <dimension ref="A1:F21"/>
  <sheetViews>
    <sheetView tabSelected="1" zoomScale="76" zoomScaleNormal="76" workbookViewId="0">
      <selection activeCell="E24" sqref="E24"/>
    </sheetView>
  </sheetViews>
  <sheetFormatPr defaultRowHeight="14.25" x14ac:dyDescent="0.45"/>
  <cols>
    <col min="2" max="3" width="13.796875" customWidth="1"/>
    <col min="5" max="5" width="13.9296875" customWidth="1"/>
  </cols>
  <sheetData>
    <row r="1" spans="1:6" x14ac:dyDescent="0.45">
      <c r="A1" t="s">
        <v>192</v>
      </c>
      <c r="B1" t="s">
        <v>193</v>
      </c>
      <c r="C1" t="s">
        <v>194</v>
      </c>
      <c r="D1" t="s">
        <v>192</v>
      </c>
      <c r="E1" t="s">
        <v>195</v>
      </c>
      <c r="F1" t="s">
        <v>196</v>
      </c>
    </row>
    <row r="2" spans="1:6" x14ac:dyDescent="0.45">
      <c r="A2">
        <v>1</v>
      </c>
      <c r="B2" s="29">
        <f>'Cost &amp; Marginal Cost'!I5</f>
        <v>4317.5</v>
      </c>
      <c r="C2">
        <f t="shared" ref="C2:C21" si="0">TOM_PRICE</f>
        <v>8800</v>
      </c>
      <c r="D2">
        <v>1</v>
      </c>
      <c r="E2" s="29">
        <f>'Cost &amp; Marginal Cost'!Q5</f>
        <v>1507.7083333333333</v>
      </c>
      <c r="F2">
        <f>CAR_PRICE</f>
        <v>2094</v>
      </c>
    </row>
    <row r="3" spans="1:6" x14ac:dyDescent="0.45">
      <c r="A3">
        <v>2</v>
      </c>
      <c r="B3" s="29">
        <f>'Cost &amp; Marginal Cost'!I6</f>
        <v>5005</v>
      </c>
      <c r="C3">
        <f t="shared" si="0"/>
        <v>8800</v>
      </c>
      <c r="D3">
        <v>2</v>
      </c>
      <c r="E3" s="29">
        <f>'Cost &amp; Marginal Cost'!Q6</f>
        <v>1561.0937499999998</v>
      </c>
      <c r="F3">
        <f>CAR_PRICE</f>
        <v>2094</v>
      </c>
    </row>
    <row r="4" spans="1:6" x14ac:dyDescent="0.45">
      <c r="A4">
        <v>3</v>
      </c>
      <c r="B4" s="29">
        <f>'Cost &amp; Marginal Cost'!I7</f>
        <v>5795.6250000000036</v>
      </c>
      <c r="C4">
        <f t="shared" si="0"/>
        <v>8800</v>
      </c>
      <c r="D4">
        <v>3</v>
      </c>
      <c r="E4" s="29">
        <f>'Cost &amp; Marginal Cost'!Q7</f>
        <v>1616.481119791667</v>
      </c>
      <c r="F4">
        <f>CAR_PRICE</f>
        <v>2094</v>
      </c>
    </row>
    <row r="5" spans="1:6" x14ac:dyDescent="0.45">
      <c r="A5">
        <v>4</v>
      </c>
      <c r="B5" s="29">
        <f>'Cost &amp; Marginal Cost'!I8</f>
        <v>6703.125</v>
      </c>
      <c r="C5">
        <f t="shared" si="0"/>
        <v>8800</v>
      </c>
      <c r="D5">
        <v>4</v>
      </c>
      <c r="E5" s="29">
        <f>'Cost &amp; Marginal Cost'!Q8</f>
        <v>1673.9371744791652</v>
      </c>
      <c r="F5">
        <f>CAR_PRICE</f>
        <v>2094</v>
      </c>
    </row>
    <row r="6" spans="1:6" x14ac:dyDescent="0.45">
      <c r="A6">
        <v>5</v>
      </c>
      <c r="B6" s="29">
        <f>'Cost &amp; Marginal Cost'!I9</f>
        <v>7660.859375</v>
      </c>
      <c r="C6">
        <f t="shared" si="0"/>
        <v>8800</v>
      </c>
      <c r="D6">
        <v>5</v>
      </c>
      <c r="E6" s="29">
        <f>'Cost &amp; Marginal Cost'!Q9</f>
        <v>1733.530731201171</v>
      </c>
      <c r="F6">
        <f>CAR_PRICE</f>
        <v>2094</v>
      </c>
    </row>
    <row r="7" spans="1:6" x14ac:dyDescent="0.45">
      <c r="A7">
        <v>6</v>
      </c>
      <c r="B7" s="29">
        <f>'Cost &amp; Marginal Cost'!I10</f>
        <v>4906.2750000000051</v>
      </c>
      <c r="C7">
        <f t="shared" si="0"/>
        <v>8800</v>
      </c>
      <c r="D7">
        <v>6</v>
      </c>
      <c r="E7" s="29">
        <f>'Cost &amp; Marginal Cost'!Q10</f>
        <v>1795.332755025227</v>
      </c>
      <c r="F7">
        <f>CAR_PRICE</f>
        <v>2094</v>
      </c>
    </row>
    <row r="8" spans="1:6" x14ac:dyDescent="0.45">
      <c r="A8">
        <v>7</v>
      </c>
      <c r="B8" s="29">
        <f>'Cost &amp; Marginal Cost'!I11</f>
        <v>5585.7089062500017</v>
      </c>
      <c r="C8">
        <f t="shared" si="0"/>
        <v>8800</v>
      </c>
      <c r="D8">
        <v>7</v>
      </c>
      <c r="E8" s="29">
        <f>'Cost &amp; Marginal Cost'!Q11</f>
        <v>1859.4164233334868</v>
      </c>
      <c r="F8">
        <f>CAR_PRICE</f>
        <v>2094</v>
      </c>
    </row>
    <row r="9" spans="1:6" x14ac:dyDescent="0.45">
      <c r="A9">
        <v>8</v>
      </c>
      <c r="B9" s="29">
        <f>'Cost &amp; Marginal Cost'!I12</f>
        <v>6360.7668437500033</v>
      </c>
      <c r="C9">
        <f t="shared" si="0"/>
        <v>8800</v>
      </c>
      <c r="D9">
        <v>8</v>
      </c>
      <c r="E9" s="29">
        <f>'Cost &amp; Marginal Cost'!Q12</f>
        <v>1925.8571920852646</v>
      </c>
      <c r="F9">
        <f>CAR_PRICE</f>
        <v>2094</v>
      </c>
    </row>
    <row r="10" spans="1:6" x14ac:dyDescent="0.45">
      <c r="A10">
        <v>9</v>
      </c>
      <c r="B10" s="29">
        <f>'Cost &amp; Marginal Cost'!I13</f>
        <v>7243.7792796875074</v>
      </c>
      <c r="C10">
        <f t="shared" si="0"/>
        <v>8800</v>
      </c>
      <c r="D10">
        <v>9</v>
      </c>
      <c r="E10" s="29">
        <f>'Cost &amp; Marginal Cost'!Q13</f>
        <v>1994.7328640100477</v>
      </c>
      <c r="F10">
        <f>CAR_PRICE</f>
        <v>2094</v>
      </c>
    </row>
    <row r="11" spans="1:6" x14ac:dyDescent="0.45">
      <c r="A11">
        <v>10</v>
      </c>
      <c r="B11" s="29">
        <f>'Cost &amp; Marginal Cost'!I14</f>
        <v>8248.586534375012</v>
      </c>
      <c r="C11">
        <f t="shared" si="0"/>
        <v>8800</v>
      </c>
      <c r="D11">
        <v>10</v>
      </c>
      <c r="E11" s="29">
        <f>'Cost &amp; Marginal Cost'!Q14</f>
        <v>2066.1236587860258</v>
      </c>
      <c r="F11">
        <f>CAR_PRICE</f>
        <v>2094</v>
      </c>
    </row>
    <row r="12" spans="1:6" x14ac:dyDescent="0.45">
      <c r="A12">
        <v>11</v>
      </c>
      <c r="B12" s="29">
        <f>'Cost &amp; Marginal Cost'!I15</f>
        <v>9390.7174472031256</v>
      </c>
      <c r="C12">
        <f t="shared" si="0"/>
        <v>8800</v>
      </c>
      <c r="D12">
        <v>11</v>
      </c>
      <c r="E12" s="29">
        <f>'Cost &amp; Marginal Cost'!Q15</f>
        <v>2140.1122852607878</v>
      </c>
      <c r="F12">
        <f>CAR_PRICE</f>
        <v>2094</v>
      </c>
    </row>
    <row r="13" spans="1:6" x14ac:dyDescent="0.45">
      <c r="A13">
        <v>12</v>
      </c>
      <c r="B13" s="29">
        <f>'Cost &amp; Marginal Cost'!I16</f>
        <v>10687.588677253138</v>
      </c>
      <c r="C13">
        <f t="shared" si="0"/>
        <v>8800</v>
      </c>
      <c r="D13">
        <v>12</v>
      </c>
      <c r="E13" s="29">
        <f>'Cost &amp; Marginal Cost'!Q16</f>
        <v>2216.7840157725441</v>
      </c>
      <c r="F13">
        <f>CAR_PRICE</f>
        <v>2094</v>
      </c>
    </row>
    <row r="14" spans="1:6" x14ac:dyDescent="0.45">
      <c r="A14">
        <v>13</v>
      </c>
      <c r="B14" s="29">
        <f>'Cost &amp; Marginal Cost'!I17</f>
        <v>12158.726978841107</v>
      </c>
      <c r="C14">
        <f t="shared" si="0"/>
        <v>8800</v>
      </c>
      <c r="D14">
        <v>13</v>
      </c>
      <c r="E14" s="29">
        <f>'Cost &amp; Marginal Cost'!Q17</f>
        <v>2296.2267626316061</v>
      </c>
      <c r="F14">
        <f>CAR_PRICE</f>
        <v>2094</v>
      </c>
    </row>
    <row r="15" spans="1:6" x14ac:dyDescent="0.45">
      <c r="A15">
        <v>14</v>
      </c>
      <c r="B15" s="29">
        <f>'Cost &amp; Marginal Cost'!I18</f>
        <v>13826.017053974152</v>
      </c>
      <c r="C15">
        <f t="shared" si="0"/>
        <v>8800</v>
      </c>
      <c r="D15">
        <v>14</v>
      </c>
      <c r="E15" s="29">
        <f>'Cost &amp; Marginal Cost'!Q18</f>
        <v>2378.5311568237667</v>
      </c>
      <c r="F15">
        <f>CAR_PRICE</f>
        <v>2094</v>
      </c>
    </row>
    <row r="16" spans="1:6" x14ac:dyDescent="0.45">
      <c r="A16">
        <v>15</v>
      </c>
      <c r="B16" s="29">
        <f>'Cost &amp; Marginal Cost'!I19</f>
        <v>15713.977874345364</v>
      </c>
      <c r="C16">
        <f t="shared" si="0"/>
        <v>8800</v>
      </c>
      <c r="D16">
        <v>15</v>
      </c>
      <c r="E16" s="29">
        <f>'Cost &amp; Marginal Cost'!Q19</f>
        <v>2463.7906289988823</v>
      </c>
      <c r="F16">
        <f>CAR_PRICE</f>
        <v>2094</v>
      </c>
    </row>
    <row r="17" spans="1:6" x14ac:dyDescent="0.45">
      <c r="A17">
        <v>16</v>
      </c>
      <c r="B17" s="29">
        <f>'Cost &amp; Marginal Cost'!I20</f>
        <v>17850.070688251115</v>
      </c>
      <c r="C17">
        <f t="shared" si="0"/>
        <v>8800</v>
      </c>
      <c r="D17">
        <v>16</v>
      </c>
      <c r="E17" s="29">
        <f>'Cost &amp; Marginal Cost'!Q20</f>
        <v>2552.1014928097429</v>
      </c>
      <c r="F17">
        <f>CAR_PRICE</f>
        <v>2094</v>
      </c>
    </row>
    <row r="18" spans="1:6" x14ac:dyDescent="0.45">
      <c r="A18">
        <v>17</v>
      </c>
      <c r="B18" s="29">
        <f>'Cost &amp; Marginal Cost'!I21</f>
        <v>20265.042286194512</v>
      </c>
      <c r="C18">
        <f t="shared" si="0"/>
        <v>8800</v>
      </c>
      <c r="D18">
        <v>17</v>
      </c>
      <c r="E18" s="29">
        <f>'Cost &amp; Marginal Cost'!Q21</f>
        <v>1670.9013431626554</v>
      </c>
      <c r="F18">
        <f>CAR_PRICE</f>
        <v>2094</v>
      </c>
    </row>
    <row r="19" spans="1:6" x14ac:dyDescent="0.45">
      <c r="A19">
        <v>18</v>
      </c>
      <c r="B19" s="29">
        <f>'Cost &amp; Marginal Cost'!I22</f>
        <v>22993.307496844121</v>
      </c>
      <c r="C19">
        <f t="shared" si="0"/>
        <v>8800</v>
      </c>
      <c r="D19">
        <v>18</v>
      </c>
      <c r="E19" s="29">
        <f>'Cost &amp; Marginal Cost'!Q22</f>
        <v>1589.1387909931072</v>
      </c>
      <c r="F19">
        <f>CAR_PRICE</f>
        <v>2094</v>
      </c>
    </row>
    <row r="20" spans="1:6" x14ac:dyDescent="0.45">
      <c r="A20">
        <v>19</v>
      </c>
      <c r="B20" s="29">
        <f>'Cost &amp; Marginal Cost'!I23</f>
        <v>26073.375326761772</v>
      </c>
      <c r="C20">
        <f t="shared" si="0"/>
        <v>8800</v>
      </c>
      <c r="D20">
        <v>19</v>
      </c>
      <c r="E20" s="29">
        <f>'Cost &amp; Marginal Cost'!Q23</f>
        <v>1638.1753169880685</v>
      </c>
      <c r="F20">
        <f>CAR_PRICE</f>
        <v>2094</v>
      </c>
    </row>
    <row r="21" spans="1:6" x14ac:dyDescent="0.45">
      <c r="A21">
        <v>20</v>
      </c>
      <c r="B21" s="29">
        <f>'Cost &amp; Marginal Cost'!I24</f>
        <v>29548.323647694342</v>
      </c>
      <c r="C21">
        <f t="shared" si="0"/>
        <v>8800</v>
      </c>
      <c r="D21">
        <v>20</v>
      </c>
      <c r="E21" s="29">
        <f>'Cost &amp; Marginal Cost'!Q24</f>
        <v>1688.9454575384007</v>
      </c>
      <c r="F21">
        <f>CAR_PRICE</f>
        <v>2094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showGridLines="0" zoomScaleNormal="100" workbookViewId="0">
      <selection activeCell="A19" sqref="A19:D19"/>
    </sheetView>
  </sheetViews>
  <sheetFormatPr defaultColWidth="8.6640625" defaultRowHeight="14.25" x14ac:dyDescent="0.45"/>
  <cols>
    <col min="1" max="1" width="30" customWidth="1"/>
    <col min="2" max="3" width="18" customWidth="1"/>
    <col min="4" max="4" width="12" customWidth="1"/>
    <col min="5" max="5" width="45" customWidth="1"/>
  </cols>
  <sheetData>
    <row r="1" spans="1:5" ht="17.649999999999999" x14ac:dyDescent="0.5">
      <c r="A1" s="1" t="s">
        <v>157</v>
      </c>
    </row>
    <row r="3" spans="1:5" ht="15.4" x14ac:dyDescent="0.45">
      <c r="A3" s="2" t="s">
        <v>158</v>
      </c>
    </row>
    <row r="4" spans="1:5" x14ac:dyDescent="0.45">
      <c r="A4" s="3" t="s">
        <v>159</v>
      </c>
      <c r="B4" s="3" t="s">
        <v>160</v>
      </c>
      <c r="C4" s="3" t="s">
        <v>161</v>
      </c>
      <c r="D4" s="3" t="s">
        <v>162</v>
      </c>
      <c r="E4" s="26"/>
    </row>
    <row r="5" spans="1:5" x14ac:dyDescent="0.45">
      <c r="A5" s="6" t="s">
        <v>163</v>
      </c>
      <c r="B5" s="24">
        <f>1*TOM_HRS*WEEKS*(1+TOM_DIM)^1</f>
        <v>99.000000000000014</v>
      </c>
      <c r="C5" s="25">
        <v>99</v>
      </c>
      <c r="D5" s="6" t="str">
        <f>IF(ABS(B5-C5)&lt;0.01,"OK","CHECK")</f>
        <v>OK</v>
      </c>
    </row>
    <row r="6" spans="1:5" x14ac:dyDescent="0.45">
      <c r="A6" s="6" t="s">
        <v>164</v>
      </c>
      <c r="B6" s="15">
        <f>MIN(B5,FARMER_HRS)*FARMER_RATE+880</f>
        <v>4317.5</v>
      </c>
      <c r="C6" s="25">
        <v>4317</v>
      </c>
      <c r="D6" s="6" t="str">
        <f>IF(ABS(B6-C6)&lt;1,"OK","CHECK")</f>
        <v>OK</v>
      </c>
    </row>
    <row r="7" spans="1:5" x14ac:dyDescent="0.45">
      <c r="A7" s="6" t="s">
        <v>165</v>
      </c>
      <c r="B7" s="15">
        <f>TOM_PRICE-B6</f>
        <v>4482.5</v>
      </c>
      <c r="C7" s="25">
        <v>4483</v>
      </c>
      <c r="D7" s="6" t="str">
        <f>IF(ABS(B7-C7)&lt;1,"OK","CHECK")</f>
        <v>OK</v>
      </c>
    </row>
    <row r="9" spans="1:5" ht="15.4" x14ac:dyDescent="0.45">
      <c r="A9" s="2" t="s">
        <v>166</v>
      </c>
    </row>
    <row r="10" spans="1:5" x14ac:dyDescent="0.45">
      <c r="A10" s="3" t="s">
        <v>167</v>
      </c>
      <c r="B10" s="3" t="s">
        <v>168</v>
      </c>
      <c r="C10" s="3" t="s">
        <v>169</v>
      </c>
      <c r="D10" s="3" t="s">
        <v>162</v>
      </c>
    </row>
    <row r="11" spans="1:5" x14ac:dyDescent="0.45">
      <c r="A11" s="6" t="s">
        <v>52</v>
      </c>
      <c r="B11" s="15">
        <f>'Cost &amp; Marginal Cost'!H5</f>
        <v>4482.5</v>
      </c>
      <c r="C11" s="25">
        <v>4483</v>
      </c>
      <c r="D11" s="6" t="str">
        <f>IF(ABS(B11-C11)&lt;1,"OK","CHECK")</f>
        <v>OK</v>
      </c>
    </row>
    <row r="12" spans="1:5" x14ac:dyDescent="0.45">
      <c r="A12" s="6" t="s">
        <v>53</v>
      </c>
      <c r="B12" s="15">
        <f>'Cost &amp; Marginal Cost'!P5</f>
        <v>586.29166666666674</v>
      </c>
      <c r="C12" s="25">
        <v>586</v>
      </c>
      <c r="D12" s="6" t="str">
        <f>IF(ABS(B12-C12)&lt;1,"OK","CHECK")</f>
        <v>OK</v>
      </c>
    </row>
    <row r="13" spans="1:5" x14ac:dyDescent="0.45">
      <c r="A13" s="6" t="s">
        <v>54</v>
      </c>
      <c r="B13" s="15">
        <f>'Cost &amp; Marginal Cost'!X5</f>
        <v>237.96875</v>
      </c>
      <c r="C13" s="25">
        <v>238</v>
      </c>
      <c r="D13" s="6" t="str">
        <f>IF(ABS(B13-C13)&lt;1,"OK","CHECK")</f>
        <v>OK</v>
      </c>
    </row>
    <row r="15" spans="1:5" ht="15.4" x14ac:dyDescent="0.45">
      <c r="A15" s="2" t="s">
        <v>170</v>
      </c>
    </row>
    <row r="16" spans="1:5" x14ac:dyDescent="0.45">
      <c r="A16" s="3" t="s">
        <v>171</v>
      </c>
      <c r="B16" s="3" t="s">
        <v>172</v>
      </c>
      <c r="C16" s="3" t="s">
        <v>61</v>
      </c>
      <c r="D16" s="3" t="s">
        <v>66</v>
      </c>
    </row>
    <row r="17" spans="1:4" x14ac:dyDescent="0.45">
      <c r="A17" s="6" t="s">
        <v>173</v>
      </c>
      <c r="B17" s="28" t="s">
        <v>180</v>
      </c>
      <c r="C17" s="6">
        <v>42761.66</v>
      </c>
      <c r="D17" s="6" t="s">
        <v>189</v>
      </c>
    </row>
    <row r="18" spans="1:4" x14ac:dyDescent="0.45">
      <c r="A18" s="6" t="s">
        <v>174</v>
      </c>
      <c r="B18" s="27" t="s">
        <v>191</v>
      </c>
      <c r="C18" s="6">
        <v>42761.66</v>
      </c>
      <c r="D18" s="6" t="s">
        <v>190</v>
      </c>
    </row>
    <row r="19" spans="1:4" ht="28.35" customHeight="1" x14ac:dyDescent="0.45">
      <c r="A19" s="31" t="s">
        <v>175</v>
      </c>
      <c r="B19" s="31"/>
      <c r="C19" s="31"/>
      <c r="D19" s="31"/>
    </row>
    <row r="21" spans="1:4" ht="15.4" x14ac:dyDescent="0.45">
      <c r="A21" s="2" t="s">
        <v>176</v>
      </c>
    </row>
    <row r="22" spans="1:4" x14ac:dyDescent="0.45">
      <c r="A22" s="3" t="s">
        <v>159</v>
      </c>
      <c r="B22" s="3" t="s">
        <v>168</v>
      </c>
      <c r="C22" s="3" t="s">
        <v>177</v>
      </c>
      <c r="D22" s="3" t="s">
        <v>178</v>
      </c>
    </row>
    <row r="23" spans="1:4" x14ac:dyDescent="0.45">
      <c r="A23" s="6" t="s">
        <v>179</v>
      </c>
      <c r="B23" s="20" t="str">
        <f>Results!B5&amp;"/"&amp;Results!B6&amp;"/"&amp;Results!B7</f>
        <v>10/20/30</v>
      </c>
      <c r="C23" s="6" t="s">
        <v>180</v>
      </c>
      <c r="D23" s="6" t="s">
        <v>181</v>
      </c>
    </row>
    <row r="24" spans="1:4" x14ac:dyDescent="0.45">
      <c r="A24" s="6" t="s">
        <v>182</v>
      </c>
      <c r="B24" s="15">
        <f>Results!B13</f>
        <v>42761.664682745002</v>
      </c>
      <c r="C24" s="6" t="s">
        <v>183</v>
      </c>
      <c r="D24" s="6" t="s">
        <v>184</v>
      </c>
    </row>
    <row r="26" spans="1:4" ht="15.4" x14ac:dyDescent="0.45">
      <c r="A26" s="2" t="s">
        <v>185</v>
      </c>
    </row>
    <row r="27" spans="1:4" x14ac:dyDescent="0.45">
      <c r="A27" t="s">
        <v>186</v>
      </c>
    </row>
    <row r="28" spans="1:4" x14ac:dyDescent="0.45">
      <c r="A28" t="s">
        <v>187</v>
      </c>
    </row>
    <row r="29" spans="1:4" x14ac:dyDescent="0.45">
      <c r="A29" t="s">
        <v>188</v>
      </c>
    </row>
  </sheetData>
  <mergeCells count="1"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60</vt:i4>
      </vt:variant>
    </vt:vector>
  </HeadingPairs>
  <TitlesOfParts>
    <vt:vector size="66" baseType="lpstr">
      <vt:lpstr>Inputs</vt:lpstr>
      <vt:lpstr>Cost &amp; Marginal Cost</vt:lpstr>
      <vt:lpstr>Optimization</vt:lpstr>
      <vt:lpstr>Results</vt:lpstr>
      <vt:lpstr>Figures</vt:lpstr>
      <vt:lpstr>Checks</vt:lpstr>
      <vt:lpstr>CAR_BEDS</vt:lpstr>
      <vt:lpstr>CAR_DIM</vt:lpstr>
      <vt:lpstr>CAR_FERT</vt:lpstr>
      <vt:lpstr>CAR_HRS</vt:lpstr>
      <vt:lpstr>CAR_MAXBED</vt:lpstr>
      <vt:lpstr>CAR_MAXBED_SHADOW</vt:lpstr>
      <vt:lpstr>CAR_PRICE</vt:lpstr>
      <vt:lpstr>COST_CAR</vt:lpstr>
      <vt:lpstr>COST_MES</vt:lpstr>
      <vt:lpstr>COST_TOM</vt:lpstr>
      <vt:lpstr>EFFECTIVE_RATE</vt:lpstr>
      <vt:lpstr>FARMER_HRS</vt:lpstr>
      <vt:lpstr>FARMER_PAY</vt:lpstr>
      <vt:lpstr>FARMER_RATE</vt:lpstr>
      <vt:lpstr>FARMER_TOTAL_HRS</vt:lpstr>
      <vt:lpstr>FIXED_COSTS</vt:lpstr>
      <vt:lpstr>LH_CAR</vt:lpstr>
      <vt:lpstr>LH_MES</vt:lpstr>
      <vt:lpstr>LH_TOM</vt:lpstr>
      <vt:lpstr>MES_BEDS</vt:lpstr>
      <vt:lpstr>MES_DIM</vt:lpstr>
      <vt:lpstr>MES_FERT</vt:lpstr>
      <vt:lpstr>MES_HRS</vt:lpstr>
      <vt:lpstr>MES_MAXBED</vt:lpstr>
      <vt:lpstr>MES_MAXBED_SHADOW</vt:lpstr>
      <vt:lpstr>MES_PRICE</vt:lpstr>
      <vt:lpstr>OPT_CAR_BEDS</vt:lpstr>
      <vt:lpstr>OPT_CAR_PROFIT</vt:lpstr>
      <vt:lpstr>OPT_MES_BEDS</vt:lpstr>
      <vt:lpstr>OPT_MES_PROFIT</vt:lpstr>
      <vt:lpstr>OPT_TEMP_WORKERS</vt:lpstr>
      <vt:lpstr>OPT_TOM_BEDS</vt:lpstr>
      <vt:lpstr>OPT_TOM_PROFIT</vt:lpstr>
      <vt:lpstr>OPT_TOTAL_BEDS</vt:lpstr>
      <vt:lpstr>OPT_TOTAL_PROFIT</vt:lpstr>
      <vt:lpstr>PROFIT_CAR</vt:lpstr>
      <vt:lpstr>PROFIT_MES</vt:lpstr>
      <vt:lpstr>PROFIT_TOM</vt:lpstr>
      <vt:lpstr>REV_CAR</vt:lpstr>
      <vt:lpstr>REV_MES</vt:lpstr>
      <vt:lpstr>REV_TOM</vt:lpstr>
      <vt:lpstr>TEMP_HRS_EACH</vt:lpstr>
      <vt:lpstr>TEMP_MAX</vt:lpstr>
      <vt:lpstr>TEMP_MAX_SHADOW</vt:lpstr>
      <vt:lpstr>TEMP_PAY_EACH</vt:lpstr>
      <vt:lpstr>TEMP_RATE</vt:lpstr>
      <vt:lpstr>TEMP_WORKERS</vt:lpstr>
      <vt:lpstr>TOM_BEDS</vt:lpstr>
      <vt:lpstr>TOM_DIM</vt:lpstr>
      <vt:lpstr>TOM_FERT</vt:lpstr>
      <vt:lpstr>TOM_HRS</vt:lpstr>
      <vt:lpstr>TOM_MAXBED</vt:lpstr>
      <vt:lpstr>TOM_MAXBED_SHADOW</vt:lpstr>
      <vt:lpstr>TOM_PRICE</vt:lpstr>
      <vt:lpstr>TOTAL_BED_CAP</vt:lpstr>
      <vt:lpstr>TOTAL_BED_SHADOW</vt:lpstr>
      <vt:lpstr>TOTAL_LABOR_COST</vt:lpstr>
      <vt:lpstr>TOTAL_LABOR_HRS</vt:lpstr>
      <vt:lpstr>TOTAL_PROFIT</vt:lpstr>
      <vt:lpstr>WEEKS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Heekum Kim</cp:lastModifiedBy>
  <cp:revision>0</cp:revision>
  <dcterms:created xsi:type="dcterms:W3CDTF">2026-09-23T23:00:18Z</dcterms:created>
  <dcterms:modified xsi:type="dcterms:W3CDTF">2026-10-13T19:06:55Z</dcterms:modified>
  <dc:language>en-US</dc:language>
</cp:coreProperties>
</file>