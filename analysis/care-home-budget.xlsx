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Care Home Budget" sheetId="2" state="visible" r:id="rId4"/>
    <sheet name="S-corp Estimate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Med-QUEST memo QI-2501 (eff. Jan 1, 2025): $1,753 SSI standard minus $75 personal needs allowance.</t>
        </r>
      </text>
    </comment>
    <comment ref="A6" authorId="0">
      <text>
        <r>
          <rPr>
            <sz val="10"/>
            <rFont val="Arial"/>
            <family val="2"/>
          </rPr>
          <t xml:space="preserve">QI-2501, CCFFH/E-ARCH Level 1 No Cost Share/SSI. Neighbor islands +$5/day.</t>
        </r>
      </text>
    </comment>
    <comment ref="A7" authorId="0">
      <text>
        <r>
          <rPr>
            <sz val="10"/>
            <rFont val="Arial"/>
            <family val="2"/>
          </rPr>
          <t xml:space="preserve">QI-2501, CCFFH/E-ARCH Level 2 No Cost Share/SSI. Neighbor islands +$5/day.</t>
        </r>
      </text>
    </comment>
    <comment ref="A9" authorId="0">
      <text>
        <r>
          <rPr>
            <sz val="10"/>
            <rFont val="Arial"/>
            <family val="2"/>
          </rPr>
          <t xml:space="preserve">Assumption: vacancies between residents and hospital stays (Medicaid not billable while institutionalized).</t>
        </r>
      </text>
    </comment>
    <comment ref="A10" authorId="0">
      <text>
        <r>
          <rPr>
            <sz val="10"/>
            <rFont val="Arial"/>
            <family val="2"/>
          </rPr>
          <t xml:space="preserve">Assumption: CCFFH private pay reported at $4,000-$7,500/mo and ARCH at $5,000-$14,000/mo on Oahu (Caring Manoa).</t>
        </r>
      </text>
    </comment>
    <comment ref="A11" authorId="0">
      <text>
        <r>
          <rPr>
            <sz val="10"/>
            <rFont val="Arial"/>
            <family val="2"/>
          </rPr>
          <t xml:space="preserve">Assumption.</t>
        </r>
      </text>
    </comment>
    <comment ref="A12" authorId="0">
      <text>
        <r>
          <rPr>
            <sz val="10"/>
            <rFont val="Arial"/>
            <family val="2"/>
          </rPr>
          <t xml:space="preserve">Assumption.</t>
        </r>
      </text>
    </comment>
    <comment ref="A13" authorId="0">
      <text>
        <r>
          <rPr>
            <sz val="10"/>
            <rFont val="Arial"/>
            <family val="2"/>
          </rPr>
          <t xml:space="preserve">Assumption for substitute caregivers and aides.</t>
        </r>
      </text>
    </comment>
    <comment ref="A14" authorId="0">
      <text>
        <r>
          <rPr>
            <sz val="10"/>
            <rFont val="Arial"/>
            <family val="2"/>
          </rPr>
          <t xml:space="preserve">Assumption; get quotes. A 5-bed home may cost more.</t>
        </r>
      </text>
    </comment>
    <comment ref="A15" authorId="0">
      <text>
        <r>
          <rPr>
            <sz val="10"/>
            <rFont val="Arial"/>
            <family val="2"/>
          </rPr>
          <t xml:space="preserve">Assumption.</t>
        </r>
      </text>
    </comment>
    <comment ref="A16" authorId="0">
      <text>
        <r>
          <rPr>
            <sz val="10"/>
            <rFont val="Arial"/>
            <family val="2"/>
          </rPr>
          <t xml:space="preserve">Assumption.</t>
        </r>
      </text>
    </comment>
    <comment ref="A17" authorId="0">
      <text>
        <r>
          <rPr>
            <sz val="10"/>
            <rFont val="Arial"/>
            <family val="2"/>
          </rPr>
          <t xml:space="preserve">Assumption.</t>
        </r>
      </text>
    </comment>
    <comment ref="A18" authorId="0">
      <text>
        <r>
          <rPr>
            <sz val="10"/>
            <rFont val="Arial"/>
            <family val="2"/>
          </rPr>
          <t xml:space="preserve">Assumption.</t>
        </r>
      </text>
    </comment>
    <comment ref="A19" authorId="0">
      <text>
        <r>
          <rPr>
            <sz val="10"/>
            <rFont val="Arial"/>
            <family val="2"/>
          </rPr>
          <t xml:space="preserve">Conservative 4.5% Oahu on all receipts. Act 47 (eff. Jan 1, 2026) exempts some Medicaid receipts for health care providers; whether care homes qualify is unconfirmed (TIR 2025-02).</t>
        </r>
      </text>
    </comment>
    <comment ref="A25" authorId="0">
      <text>
        <r>
          <rPr>
            <sz val="10"/>
            <rFont val="Arial"/>
            <family val="2"/>
          </rPr>
          <t xml:space="preserve">Assumption: CCFFH = substitute coverage for your time off. E-ARCH with 5 residents = an aide ~40 hrs/wk plus 20 hrs substitute coverage.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Net profit = gross revenue minus business expenses (Schedule C bottom line).</t>
        </r>
      </text>
    </comment>
    <comment ref="A12" authorId="0">
      <text>
        <r>
          <rPr>
            <sz val="10"/>
            <rFont val="Arial"/>
            <family val="2"/>
          </rPr>
          <t xml:space="preserve">Source: SSA 2026 taxable maximum ($184,500).</t>
        </r>
      </text>
    </comment>
  </commentList>
</comments>
</file>

<file path=xl/sharedStrings.xml><?xml version="1.0" encoding="utf-8"?>
<sst xmlns="http://schemas.openxmlformats.org/spreadsheetml/2006/main" count="121" uniqueCount="121">
  <si>
    <t xml:space="preserve">Care Home vs. Realtor: Solo Business Comparison (Hawaii)</t>
  </si>
  <si>
    <t xml:space="preserve">Research notes, Oct 2026. Not legal or tax advice; confirm with a CPA and the Hawaii Real Estate Commission.</t>
  </si>
  <si>
    <t xml:space="preserve">Factor</t>
  </si>
  <si>
    <t xml:space="preserve">Care home (CCFFH / ARCH)</t>
  </si>
  <si>
    <t xml:space="preserve">Realtor (salesperson)</t>
  </si>
  <si>
    <t xml:space="preserve">Can you run it through your own S-corp?</t>
  </si>
  <si>
    <t xml:space="preserve">Generally yes</t>
  </si>
  <si>
    <t xml:space="preserve">Restricted: commissions must come from your principal broker unless your entity is a licensed brokerage</t>
  </si>
  <si>
    <t xml:space="preserve">Income pattern</t>
  </si>
  <si>
    <t xml:space="preserve">Steady monthly payments</t>
  </si>
  <si>
    <t xml:space="preserve">Lumpy; depends on closings and the market</t>
  </si>
  <si>
    <t xml:space="preserve">Ceiling on income</t>
  </si>
  <si>
    <t xml:space="preserve">Capped by beds (3 residents CCFFH; up to 5 Type I ARCH)</t>
  </si>
  <si>
    <t xml:space="preserve">Uncapped</t>
  </si>
  <si>
    <t xml:space="preserve">Possible tax-free income</t>
  </si>
  <si>
    <t xml:space="preserve">Medicaid care payments may be excludable (IRS Notice 2014-7)</t>
  </si>
  <si>
    <t xml:space="preserve">None; all commissions taxable</t>
  </si>
  <si>
    <t xml:space="preserve">QBI deduction</t>
  </si>
  <si>
    <t xml:space="preserve">Full 20% below $201,750 taxable income (single)</t>
  </si>
  <si>
    <t xml:space="preserve">Full 20% below threshold; real estate agents are not a specified service business, so they keep it at higher incomes</t>
  </si>
  <si>
    <t xml:space="preserve">Typical expenses</t>
  </si>
  <si>
    <t xml:space="preserve">Food, utilities, substitute caregiver, supplies, home costs</t>
  </si>
  <si>
    <t xml:space="preserve">Broker split and fees, MLS and association dues, marketing, car, licensing</t>
  </si>
  <si>
    <t xml:space="preserve">Hawaii GET</t>
  </si>
  <si>
    <t xml:space="preserve">4.5% (Oahu) on taxable gross receipts</t>
  </si>
  <si>
    <t xml:space="preserve">4.5% (Oahu) on commissions</t>
  </si>
  <si>
    <t xml:space="preserve">Liability exposure</t>
  </si>
  <si>
    <t xml:space="preserve">Resident care and injury (liability insurance)</t>
  </si>
  <si>
    <t xml:space="preserve">Transaction disputes, disclosure errors (E&amp;O insurance)</t>
  </si>
  <si>
    <t xml:space="preserve">Suggested S-corp threshold</t>
  </si>
  <si>
    <t xml:space="preserve">Only if taxable profit is steady and high; may be moot if Medicaid payments are excluded</t>
  </si>
  <si>
    <t xml:space="preserve">Consider at ~$150,000+ steady net profit, and only if Hawaii broker rules allow</t>
  </si>
  <si>
    <t xml:space="preserve">Care Home Annual Budget: CCFFH vs. Expanded ARCH (Oahu)</t>
  </si>
  <si>
    <t xml:space="preserve">Edit blue cells on yellow. Expense figures are planning estimates, not quotes. Mortgage/rent excluded (your own home). Not tax advice.</t>
  </si>
  <si>
    <t xml:space="preserve">Shared assumptions</t>
  </si>
  <si>
    <t xml:space="preserve">Value</t>
  </si>
  <si>
    <t xml:space="preserve">Room &amp; board paid to home per SSI resident ($/mo)</t>
  </si>
  <si>
    <t xml:space="preserve">Level 1 care payment, Oahu ($/day)</t>
  </si>
  <si>
    <t xml:space="preserve">Level 2 care payment, Oahu ($/day)</t>
  </si>
  <si>
    <t xml:space="preserve">Days per year</t>
  </si>
  <si>
    <t xml:space="preserve">Occupancy (share of year beds are filled and billable)</t>
  </si>
  <si>
    <t xml:space="preserve">Private-pay rate ($/mo)</t>
  </si>
  <si>
    <t xml:space="preserve">Food &amp; household supplies per resident ($/mo)</t>
  </si>
  <si>
    <t xml:space="preserve">Added utilities, phone, internet ($/mo)</t>
  </si>
  <si>
    <t xml:space="preserve">Paid caregiver pay ($/hr)</t>
  </si>
  <si>
    <t xml:space="preserve">Liability insurance ($/yr)</t>
  </si>
  <si>
    <t xml:space="preserve">Care supplies per resident ($/mo)</t>
  </si>
  <si>
    <t xml:space="preserve">Home upkeep, furnishings, safety equipment ($/yr)</t>
  </si>
  <si>
    <t xml:space="preserve">Transportation to appointments ($/yr)</t>
  </si>
  <si>
    <t xml:space="preserve">Licensing, training, CPR, admin ($/yr)</t>
  </si>
  <si>
    <t xml:space="preserve">GET rate on receipts</t>
  </si>
  <si>
    <t xml:space="preserve">Scenario</t>
  </si>
  <si>
    <t xml:space="preserve">A: CCFFH, 2 Medicaid Level 2</t>
  </si>
  <si>
    <t xml:space="preserve">B: CCFFH, 1 Level 2 + 1 private pay</t>
  </si>
  <si>
    <t xml:space="preserve">C: CCFFH 3-bed (state approval), 2 Level 2 + 1 private</t>
  </si>
  <si>
    <t xml:space="preserve">D: E-ARCH Type I, 3 Level 2 + 2 private pay</t>
  </si>
  <si>
    <t xml:space="preserve">Medicaid Level 1 residents</t>
  </si>
  <si>
    <t xml:space="preserve">Medicaid Level 2 residents</t>
  </si>
  <si>
    <t xml:space="preserve">Private-pay residents</t>
  </si>
  <si>
    <t xml:space="preserve">Paid caregiver hours per week</t>
  </si>
  <si>
    <t xml:space="preserve">Total residents</t>
  </si>
  <si>
    <t xml:space="preserve">Monthly payment: Level 1 resident ($/mo)</t>
  </si>
  <si>
    <t xml:space="preserve">Monthly payment: Level 2 resident ($/mo)</t>
  </si>
  <si>
    <t xml:space="preserve">Monthly payment: private-pay resident ($/mo)</t>
  </si>
  <si>
    <t xml:space="preserve">Gross monthly revenue, all beds full ($/mo)</t>
  </si>
  <si>
    <t xml:space="preserve">Gross annual revenue at occupancy ($/yr)</t>
  </si>
  <si>
    <t xml:space="preserve">Annual expenses</t>
  </si>
  <si>
    <t xml:space="preserve">Food &amp; household</t>
  </si>
  <si>
    <t xml:space="preserve">Added utilities, phone, internet</t>
  </si>
  <si>
    <t xml:space="preserve">Paid caregivers</t>
  </si>
  <si>
    <t xml:space="preserve">Liability insurance</t>
  </si>
  <si>
    <t xml:space="preserve">Care supplies</t>
  </si>
  <si>
    <t xml:space="preserve">Home upkeep, furnishings, safety</t>
  </si>
  <si>
    <t xml:space="preserve">Transportation</t>
  </si>
  <si>
    <t xml:space="preserve">Licensing, training, admin</t>
  </si>
  <si>
    <t xml:space="preserve">General excise tax (GET)</t>
  </si>
  <si>
    <t xml:space="preserve">Total expenses ($/yr)</t>
  </si>
  <si>
    <t xml:space="preserve">Net profit ($/yr)</t>
  </si>
  <si>
    <t xml:space="preserve">Net profit ($/mo)</t>
  </si>
  <si>
    <t xml:space="preserve">Above / (below) $100k target</t>
  </si>
  <si>
    <t xml:space="preserve">Licensing limits: CCFFH standard is 2 residents (HAR 11-800); a 3rd bed needs state approval (e.g., a Medicaid bed vacant 6+ months) and at least one bed must be Medicaid.</t>
  </si>
  <si>
    <t xml:space="preserve">E-ARCH Type I: up to 5 residents, up to 3 at nursing-facility level of care. Assumes Level 2 E-ARCH residents are paid at the same rates as CCFFH (QI-2501 lists them together).</t>
  </si>
  <si>
    <t xml:space="preserve">Level 1 / Level 2 = payment tiers by how much care the resident needs; confirm how residents are assigned with a case management agency.</t>
  </si>
  <si>
    <t xml:space="preserve">Taxable profit may be lower than net profit: Medicaid care payments (per-day portion) may be excludable under IRS Notice 2014-7; room &amp; board from SSI is likely taxable. Confirm with a CPA.</t>
  </si>
  <si>
    <t xml:space="preserve">S-corp vs. Sole Prop / Single-Member LLC: Rough Annual Savings (federal only)</t>
  </si>
  <si>
    <t xml:space="preserve">Edit the blue cells on yellow. Everything else recalculates. Simplified: no other income, no retirement or health deductions, no state tax.</t>
  </si>
  <si>
    <t xml:space="preserve">Item</t>
  </si>
  <si>
    <t xml:space="preserve">Scenario A</t>
  </si>
  <si>
    <t xml:space="preserve">Scenario B</t>
  </si>
  <si>
    <t xml:space="preserve">Realtor: $80k salary</t>
  </si>
  <si>
    <t xml:space="preserve">Net profit after business expenses ($)</t>
  </si>
  <si>
    <t xml:space="preserve">Reasonable salary if S-corp ($)</t>
  </si>
  <si>
    <t xml:space="preserve">Added payroll + S-corp return cost ($/yr)</t>
  </si>
  <si>
    <t xml:space="preserve">Federal income tax bracket</t>
  </si>
  <si>
    <t xml:space="preserve">Social Security rate (combined)</t>
  </si>
  <si>
    <t xml:space="preserve">Medicare rate (combined)</t>
  </si>
  <si>
    <t xml:space="preserve">Net-earnings factor (Schedule SE)</t>
  </si>
  <si>
    <t xml:space="preserve">Social Security wage base 2026 ($)</t>
  </si>
  <si>
    <t xml:space="preserve">QBI deduction rate</t>
  </si>
  <si>
    <t xml:space="preserve">Results</t>
  </si>
  <si>
    <t xml:space="preserve">Self-employment tax (sole prop / LLC)</t>
  </si>
  <si>
    <t xml:space="preserve">Payroll tax on S-corp salary</t>
  </si>
  <si>
    <t xml:space="preserve">Payroll-tax savings</t>
  </si>
  <si>
    <t xml:space="preserve">QBI deduction: sole prop / LLC</t>
  </si>
  <si>
    <t xml:space="preserve">QBI deduction: S-corp</t>
  </si>
  <si>
    <t xml:space="preserve">Income tax cost of smaller QBI deduction</t>
  </si>
  <si>
    <t xml:space="preserve">Estimated net annual S-corp savings</t>
  </si>
  <si>
    <t xml:space="preserve">Sources</t>
  </si>
  <si>
    <t xml:space="preserve">Hawaii Med-QUEST memo QI-2501: CCFFH / E-ARCH rates (2025)</t>
  </si>
  <si>
    <t xml:space="preserve">IRS Notice 2014-7: Medicaid waiver payments</t>
  </si>
  <si>
    <t xml:space="preserve">Hawaii Real Estate Bulletin, Oct 2007: commissions paid to entities</t>
  </si>
  <si>
    <t xml:space="preserve">HRS 467-8: entity broker license requirements</t>
  </si>
  <si>
    <t xml:space="preserve">2026 QBI thresholds (Rev. Proc. 2025-32)</t>
  </si>
  <si>
    <t xml:space="preserve">2026 self-employment tax reference</t>
  </si>
  <si>
    <t xml:space="preserve">Hawaii GET guide</t>
  </si>
  <si>
    <t xml:space="preserve">CCFFH program overview</t>
  </si>
  <si>
    <t xml:space="preserve">Caring Manoa: elderly care options and private-pay ranges in Hawaii</t>
  </si>
  <si>
    <t xml:space="preserve">Hawaii Dept. of Taxation TIR 2025-02: GET exemption for Medicare/Medicaid/TRICARE receipts (Act 47)</t>
  </si>
  <si>
    <t xml:space="preserve">Med-QUEST CCFFH Admission Policy and Agreement</t>
  </si>
  <si>
    <t xml:space="preserve">Hawaii Administrative Rules ch. 11-800: CCFFH rules (capacity)</t>
  </si>
  <si>
    <t xml:space="preserve">ARCH, E-ARCH, and CCFFH explained (capacity by home type)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</si>
</sst>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\$#,##0.00"/>
    <numFmt numFmtId="167" formatCode="0"/>
    <numFmt numFmtId="168" formatCode="0.0%"/>
    <numFmt numFmtId="169" formatCode="\$#,##0"/>
    <numFmt numFmtId="170" formatCode="0.00%"/>
    <numFmt numFmtId="171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edquest.hawaii.gov/content/dam/formsanddocuments/provider-memos/qi-memos/qi-memos-2025/QI-2501%20Fee%20for%20Service%20Rates%20for%20HCBS%20eff%201.1.2025_jf%20(part%201)%20-%20signed.pdf" TargetMode="External"/><Relationship Id="rId2" Type="http://schemas.openxmlformats.org/officeDocument/2006/relationships/hyperlink" Target="https://www.irs.gov/pub/irs-drop/n-14-07.pdf" TargetMode="External"/><Relationship Id="rId3" Type="http://schemas.openxmlformats.org/officeDocument/2006/relationships/hyperlink" Target="https://files.hawaii.gov/dcca/reb/real_ed/re_bull2/re_bull_01_05/bull1007.pdf" TargetMode="External"/><Relationship Id="rId4" Type="http://schemas.openxmlformats.org/officeDocument/2006/relationships/hyperlink" Target="https://www.capitol.hawaii.gov/hrscurrent/Vol10_Ch0436-0474/HRS0467/HRS_0467-0008.htm" TargetMode="External"/><Relationship Id="rId5" Type="http://schemas.openxmlformats.org/officeDocument/2006/relationships/hyperlink" Target="https://nationaltaxtools.com/guides/qbi-deduction/" TargetMode="External"/><Relationship Id="rId6" Type="http://schemas.openxmlformats.org/officeDocument/2006/relationships/hyperlink" Target="https://selfemploymentcalculator.com/2026-self-employment-tax-reference" TargetMode="External"/><Relationship Id="rId7" Type="http://schemas.openxmlformats.org/officeDocument/2006/relationships/hyperlink" Target="https://quaderno.io/guides/hawaii/sales-tax/" TargetMode="External"/><Relationship Id="rId8" Type="http://schemas.openxmlformats.org/officeDocument/2006/relationships/hyperlink" Target="https://www.payingforseniorcare.com/hawaii/medicaid-waivers/adult-foster-care" TargetMode="External"/><Relationship Id="rId9" Type="http://schemas.openxmlformats.org/officeDocument/2006/relationships/hyperlink" Target="https://www.caringmanoa.com/elderly-care-options-in-hawaii" TargetMode="External"/><Relationship Id="rId10" Type="http://schemas.openxmlformats.org/officeDocument/2006/relationships/hyperlink" Target="https://files.hawaii.gov/tax/legal/tir/tir25-02.pdf" TargetMode="External"/><Relationship Id="rId11" Type="http://schemas.openxmlformats.org/officeDocument/2006/relationships/hyperlink" Target="https://medquest.hawaii.gov/content/dam/formsanddocuments/my-choice-my-way/members---applicants---already-covered--provider/4.%20CCFFH%20Admission%20Policy%20and%20Agreement-2%20(1).pdf" TargetMode="External"/><Relationship Id="rId12" Type="http://schemas.openxmlformats.org/officeDocument/2006/relationships/hyperlink" Target="https://health.hawaii.gov/opppd/files/2018/06/HAR-11-800-CMA-and-CCFFH-FINAL-5-4-18.pdf" TargetMode="External"/><Relationship Id="rId13" Type="http://schemas.openxmlformats.org/officeDocument/2006/relationships/hyperlink" Target="https://eldercarestartguide.com/blog/adult-residential-care-home-hawai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8"/>
    <col collapsed="false" customWidth="true" hidden="false" outlineLevel="0" max="3" min="3" style="1" width="5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26.25" hidden="false" customHeight="true" outlineLevel="0" collapsed="false">
      <c r="A5" s="5" t="s">
        <v>5</v>
      </c>
      <c r="B5" s="6" t="s">
        <v>6</v>
      </c>
      <c r="C5" s="6" t="s">
        <v>7</v>
      </c>
    </row>
    <row r="6" customFormat="false" ht="15" hidden="false" customHeight="true" outlineLevel="0" collapsed="false">
      <c r="A6" s="5" t="s">
        <v>8</v>
      </c>
      <c r="B6" s="6" t="s">
        <v>9</v>
      </c>
      <c r="C6" s="6" t="s">
        <v>10</v>
      </c>
    </row>
    <row r="7" customFormat="false" ht="26.25" hidden="false" customHeight="true" outlineLevel="0" collapsed="false">
      <c r="A7" s="5" t="s">
        <v>11</v>
      </c>
      <c r="B7" s="6" t="s">
        <v>12</v>
      </c>
      <c r="C7" s="6" t="s">
        <v>13</v>
      </c>
    </row>
    <row r="8" customFormat="false" ht="26.25" hidden="false" customHeight="true" outlineLevel="0" collapsed="false">
      <c r="A8" s="5" t="s">
        <v>14</v>
      </c>
      <c r="B8" s="6" t="s">
        <v>15</v>
      </c>
      <c r="C8" s="6" t="s">
        <v>16</v>
      </c>
    </row>
    <row r="9" customFormat="false" ht="39" hidden="false" customHeight="true" outlineLevel="0" collapsed="false">
      <c r="A9" s="5" t="s">
        <v>17</v>
      </c>
      <c r="B9" s="6" t="s">
        <v>18</v>
      </c>
      <c r="C9" s="6" t="s">
        <v>19</v>
      </c>
    </row>
    <row r="10" customFormat="false" ht="26.25" hidden="false" customHeight="true" outlineLevel="0" collapsed="false">
      <c r="A10" s="5" t="s">
        <v>20</v>
      </c>
      <c r="B10" s="6" t="s">
        <v>21</v>
      </c>
      <c r="C10" s="6" t="s">
        <v>22</v>
      </c>
    </row>
    <row r="11" customFormat="false" ht="15" hidden="false" customHeight="true" outlineLevel="0" collapsed="false">
      <c r="A11" s="5" t="s">
        <v>23</v>
      </c>
      <c r="B11" s="6" t="s">
        <v>24</v>
      </c>
      <c r="C11" s="6" t="s">
        <v>25</v>
      </c>
    </row>
    <row r="12" customFormat="false" ht="26.25" hidden="false" customHeight="true" outlineLevel="0" collapsed="false">
      <c r="A12" s="5" t="s">
        <v>26</v>
      </c>
      <c r="B12" s="6" t="s">
        <v>27</v>
      </c>
      <c r="C12" s="6" t="s">
        <v>28</v>
      </c>
    </row>
    <row r="13" customFormat="false" ht="26.25" hidden="false" customHeight="true" outlineLevel="0" collapsed="false">
      <c r="A13" s="5" t="s">
        <v>29</v>
      </c>
      <c r="B13" s="6" t="s">
        <v>30</v>
      </c>
      <c r="C13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4"/>
  </cols>
  <sheetData>
    <row r="1" customFormat="false" ht="17.35" hidden="false" customHeight="false" outlineLevel="0" collapsed="false">
      <c r="A1" s="7" t="s">
        <v>32</v>
      </c>
    </row>
    <row r="2" customFormat="false" ht="15" hidden="false" customHeight="false" outlineLevel="0" collapsed="false">
      <c r="A2" s="8" t="s">
        <v>33</v>
      </c>
    </row>
    <row r="4" customFormat="false" ht="15" hidden="false" customHeight="false" outlineLevel="0" collapsed="false">
      <c r="A4" s="9" t="s">
        <v>34</v>
      </c>
      <c r="B4" s="9" t="s">
        <v>35</v>
      </c>
    </row>
    <row r="5" customFormat="false" ht="15" hidden="false" customHeight="false" outlineLevel="0" collapsed="false">
      <c r="A5" s="10" t="s">
        <v>36</v>
      </c>
      <c r="B5" s="11" t="n">
        <v>1678</v>
      </c>
    </row>
    <row r="6" customFormat="false" ht="15" hidden="false" customHeight="false" outlineLevel="0" collapsed="false">
      <c r="A6" s="10" t="s">
        <v>37</v>
      </c>
      <c r="B6" s="12" t="n">
        <v>28.4</v>
      </c>
    </row>
    <row r="7" customFormat="false" ht="15" hidden="false" customHeight="false" outlineLevel="0" collapsed="false">
      <c r="A7" s="10" t="s">
        <v>38</v>
      </c>
      <c r="B7" s="12" t="n">
        <v>68.36</v>
      </c>
    </row>
    <row r="8" customFormat="false" ht="15" hidden="false" customHeight="false" outlineLevel="0" collapsed="false">
      <c r="A8" s="10" t="s">
        <v>39</v>
      </c>
      <c r="B8" s="13" t="n">
        <v>365</v>
      </c>
    </row>
    <row r="9" customFormat="false" ht="15" hidden="false" customHeight="false" outlineLevel="0" collapsed="false">
      <c r="A9" s="10" t="s">
        <v>40</v>
      </c>
      <c r="B9" s="14" t="n">
        <v>0.95</v>
      </c>
    </row>
    <row r="10" customFormat="false" ht="15" hidden="false" customHeight="false" outlineLevel="0" collapsed="false">
      <c r="A10" s="10" t="s">
        <v>41</v>
      </c>
      <c r="B10" s="11" t="n">
        <v>6000</v>
      </c>
    </row>
    <row r="11" customFormat="false" ht="15" hidden="false" customHeight="false" outlineLevel="0" collapsed="false">
      <c r="A11" s="10" t="s">
        <v>42</v>
      </c>
      <c r="B11" s="11" t="n">
        <v>450</v>
      </c>
    </row>
    <row r="12" customFormat="false" ht="15" hidden="false" customHeight="false" outlineLevel="0" collapsed="false">
      <c r="A12" s="10" t="s">
        <v>43</v>
      </c>
      <c r="B12" s="11" t="n">
        <v>400</v>
      </c>
    </row>
    <row r="13" customFormat="false" ht="15" hidden="false" customHeight="false" outlineLevel="0" collapsed="false">
      <c r="A13" s="10" t="s">
        <v>44</v>
      </c>
      <c r="B13" s="12" t="n">
        <v>20</v>
      </c>
    </row>
    <row r="14" customFormat="false" ht="15" hidden="false" customHeight="false" outlineLevel="0" collapsed="false">
      <c r="A14" s="10" t="s">
        <v>45</v>
      </c>
      <c r="B14" s="11" t="n">
        <v>3000</v>
      </c>
    </row>
    <row r="15" customFormat="false" ht="15" hidden="false" customHeight="false" outlineLevel="0" collapsed="false">
      <c r="A15" s="10" t="s">
        <v>46</v>
      </c>
      <c r="B15" s="11" t="n">
        <v>50</v>
      </c>
    </row>
    <row r="16" customFormat="false" ht="15" hidden="false" customHeight="false" outlineLevel="0" collapsed="false">
      <c r="A16" s="10" t="s">
        <v>47</v>
      </c>
      <c r="B16" s="11" t="n">
        <v>3000</v>
      </c>
    </row>
    <row r="17" customFormat="false" ht="15" hidden="false" customHeight="false" outlineLevel="0" collapsed="false">
      <c r="A17" s="10" t="s">
        <v>48</v>
      </c>
      <c r="B17" s="11" t="n">
        <v>2400</v>
      </c>
    </row>
    <row r="18" customFormat="false" ht="15" hidden="false" customHeight="false" outlineLevel="0" collapsed="false">
      <c r="A18" s="10" t="s">
        <v>49</v>
      </c>
      <c r="B18" s="11" t="n">
        <v>1000</v>
      </c>
    </row>
    <row r="19" customFormat="false" ht="15" hidden="false" customHeight="false" outlineLevel="0" collapsed="false">
      <c r="A19" s="10" t="s">
        <v>50</v>
      </c>
      <c r="B19" s="14" t="n">
        <v>0.045</v>
      </c>
    </row>
    <row r="21" customFormat="false" ht="45" hidden="false" customHeight="true" outlineLevel="0" collapsed="false">
      <c r="A21" s="9" t="s">
        <v>51</v>
      </c>
      <c r="B21" s="9" t="s">
        <v>52</v>
      </c>
      <c r="C21" s="9" t="s">
        <v>53</v>
      </c>
      <c r="D21" s="9" t="s">
        <v>54</v>
      </c>
      <c r="E21" s="9" t="s">
        <v>55</v>
      </c>
    </row>
    <row r="22" customFormat="false" ht="15" hidden="false" customHeight="false" outlineLevel="0" collapsed="false">
      <c r="A22" s="10" t="s">
        <v>56</v>
      </c>
      <c r="B22" s="13" t="n">
        <v>0</v>
      </c>
      <c r="C22" s="13" t="n">
        <v>0</v>
      </c>
      <c r="D22" s="13" t="n">
        <v>0</v>
      </c>
      <c r="E22" s="13" t="n">
        <v>0</v>
      </c>
    </row>
    <row r="23" customFormat="false" ht="15" hidden="false" customHeight="false" outlineLevel="0" collapsed="false">
      <c r="A23" s="10" t="s">
        <v>57</v>
      </c>
      <c r="B23" s="13" t="n">
        <v>2</v>
      </c>
      <c r="C23" s="13" t="n">
        <v>1</v>
      </c>
      <c r="D23" s="13" t="n">
        <v>2</v>
      </c>
      <c r="E23" s="13" t="n">
        <v>3</v>
      </c>
    </row>
    <row r="24" customFormat="false" ht="15" hidden="false" customHeight="false" outlineLevel="0" collapsed="false">
      <c r="A24" s="10" t="s">
        <v>58</v>
      </c>
      <c r="B24" s="13" t="n">
        <v>0</v>
      </c>
      <c r="C24" s="13" t="n">
        <v>1</v>
      </c>
      <c r="D24" s="13" t="n">
        <v>1</v>
      </c>
      <c r="E24" s="13" t="n">
        <v>2</v>
      </c>
    </row>
    <row r="25" customFormat="false" ht="15" hidden="false" customHeight="false" outlineLevel="0" collapsed="false">
      <c r="A25" s="10" t="s">
        <v>59</v>
      </c>
      <c r="B25" s="13" t="n">
        <v>20</v>
      </c>
      <c r="C25" s="13" t="n">
        <v>20</v>
      </c>
      <c r="D25" s="13" t="n">
        <v>20</v>
      </c>
      <c r="E25" s="13" t="n">
        <v>60</v>
      </c>
    </row>
    <row r="26" customFormat="false" ht="15" hidden="false" customHeight="false" outlineLevel="0" collapsed="false">
      <c r="A26" s="10" t="s">
        <v>60</v>
      </c>
      <c r="B26" s="15" t="n">
        <f aca="false">SUM(B22:B24)</f>
        <v>2</v>
      </c>
      <c r="C26" s="15" t="n">
        <f aca="false">SUM(C22:C24)</f>
        <v>2</v>
      </c>
      <c r="D26" s="15" t="n">
        <f aca="false">SUM(D22:D24)</f>
        <v>3</v>
      </c>
      <c r="E26" s="15" t="n">
        <f aca="false">SUM(E22:E24)</f>
        <v>5</v>
      </c>
    </row>
    <row r="27" customFormat="false" ht="15" hidden="false" customHeight="false" outlineLevel="0" collapsed="false">
      <c r="A27" s="10" t="s">
        <v>61</v>
      </c>
      <c r="B27" s="16" t="n">
        <f aca="false">$B$5+$B$6*$B$8/12</f>
        <v>2541.83333333333</v>
      </c>
      <c r="C27" s="16" t="n">
        <f aca="false">$B$5+$B$6*$B$8/12</f>
        <v>2541.83333333333</v>
      </c>
      <c r="D27" s="16" t="n">
        <f aca="false">$B$5+$B$6*$B$8/12</f>
        <v>2541.83333333333</v>
      </c>
      <c r="E27" s="16" t="n">
        <f aca="false">$B$5+$B$6*$B$8/12</f>
        <v>2541.83333333333</v>
      </c>
    </row>
    <row r="28" customFormat="false" ht="15" hidden="false" customHeight="false" outlineLevel="0" collapsed="false">
      <c r="A28" s="10" t="s">
        <v>62</v>
      </c>
      <c r="B28" s="16" t="n">
        <f aca="false">$B$5+$B$7*$B$8/12</f>
        <v>3757.28333333333</v>
      </c>
      <c r="C28" s="16" t="n">
        <f aca="false">$B$5+$B$7*$B$8/12</f>
        <v>3757.28333333333</v>
      </c>
      <c r="D28" s="16" t="n">
        <f aca="false">$B$5+$B$7*$B$8/12</f>
        <v>3757.28333333333</v>
      </c>
      <c r="E28" s="16" t="n">
        <f aca="false">$B$5+$B$7*$B$8/12</f>
        <v>3757.28333333333</v>
      </c>
    </row>
    <row r="29" customFormat="false" ht="15" hidden="false" customHeight="false" outlineLevel="0" collapsed="false">
      <c r="A29" s="10" t="s">
        <v>63</v>
      </c>
      <c r="B29" s="16" t="n">
        <f aca="false">$B$10</f>
        <v>6000</v>
      </c>
      <c r="C29" s="16" t="n">
        <f aca="false">$B$10</f>
        <v>6000</v>
      </c>
      <c r="D29" s="16" t="n">
        <f aca="false">$B$10</f>
        <v>6000</v>
      </c>
      <c r="E29" s="16" t="n">
        <f aca="false">$B$10</f>
        <v>6000</v>
      </c>
    </row>
    <row r="30" customFormat="false" ht="15" hidden="false" customHeight="false" outlineLevel="0" collapsed="false">
      <c r="A30" s="10" t="s">
        <v>64</v>
      </c>
      <c r="B30" s="16" t="n">
        <f aca="false">B22*B27+B23*B28+B24*B29</f>
        <v>7514.56666666667</v>
      </c>
      <c r="C30" s="16" t="n">
        <f aca="false">C22*C27+C23*C28+C24*C29</f>
        <v>9757.28333333333</v>
      </c>
      <c r="D30" s="16" t="n">
        <f aca="false">D22*D27+D23*D28+D24*D29</f>
        <v>13514.5666666667</v>
      </c>
      <c r="E30" s="16" t="n">
        <f aca="false">E22*E27+E23*E28+E24*E29</f>
        <v>23271.85</v>
      </c>
    </row>
    <row r="31" customFormat="false" ht="15" hidden="false" customHeight="false" outlineLevel="0" collapsed="false">
      <c r="A31" s="17" t="s">
        <v>65</v>
      </c>
      <c r="B31" s="18" t="n">
        <f aca="false">B30*12*$B$9</f>
        <v>85666.06</v>
      </c>
      <c r="C31" s="18" t="n">
        <f aca="false">C30*12*$B$9</f>
        <v>111233.03</v>
      </c>
      <c r="D31" s="18" t="n">
        <f aca="false">D30*12*$B$9</f>
        <v>154066.06</v>
      </c>
      <c r="E31" s="18" t="n">
        <f aca="false">E30*12*$B$9</f>
        <v>265299.09</v>
      </c>
    </row>
    <row r="32" customFormat="false" ht="15" hidden="false" customHeight="false" outlineLevel="0" collapsed="false">
      <c r="A32" s="17" t="s">
        <v>66</v>
      </c>
    </row>
    <row r="33" customFormat="false" ht="15" hidden="false" customHeight="false" outlineLevel="0" collapsed="false">
      <c r="A33" s="10" t="s">
        <v>67</v>
      </c>
      <c r="B33" s="16" t="n">
        <f aca="false">B26*$B$11*12*$B$9</f>
        <v>10260</v>
      </c>
      <c r="C33" s="16" t="n">
        <f aca="false">C26*$B$11*12*$B$9</f>
        <v>10260</v>
      </c>
      <c r="D33" s="16" t="n">
        <f aca="false">D26*$B$11*12*$B$9</f>
        <v>15390</v>
      </c>
      <c r="E33" s="16" t="n">
        <f aca="false">E26*$B$11*12*$B$9</f>
        <v>25650</v>
      </c>
    </row>
    <row r="34" customFormat="false" ht="15" hidden="false" customHeight="false" outlineLevel="0" collapsed="false">
      <c r="A34" s="10" t="s">
        <v>68</v>
      </c>
      <c r="B34" s="16" t="n">
        <f aca="false">$B$12*12</f>
        <v>4800</v>
      </c>
      <c r="C34" s="16" t="n">
        <f aca="false">$B$12*12</f>
        <v>4800</v>
      </c>
      <c r="D34" s="16" t="n">
        <f aca="false">$B$12*12</f>
        <v>4800</v>
      </c>
      <c r="E34" s="16" t="n">
        <f aca="false">$B$12*12</f>
        <v>4800</v>
      </c>
    </row>
    <row r="35" customFormat="false" ht="15" hidden="false" customHeight="false" outlineLevel="0" collapsed="false">
      <c r="A35" s="10" t="s">
        <v>69</v>
      </c>
      <c r="B35" s="16" t="n">
        <f aca="false">B25*$B$13*52</f>
        <v>20800</v>
      </c>
      <c r="C35" s="16" t="n">
        <f aca="false">C25*$B$13*52</f>
        <v>20800</v>
      </c>
      <c r="D35" s="16" t="n">
        <f aca="false">D25*$B$13*52</f>
        <v>20800</v>
      </c>
      <c r="E35" s="16" t="n">
        <f aca="false">E25*$B$13*52</f>
        <v>62400</v>
      </c>
    </row>
    <row r="36" customFormat="false" ht="15" hidden="false" customHeight="false" outlineLevel="0" collapsed="false">
      <c r="A36" s="10" t="s">
        <v>70</v>
      </c>
      <c r="B36" s="16" t="n">
        <f aca="false">$B$14</f>
        <v>3000</v>
      </c>
      <c r="C36" s="16" t="n">
        <f aca="false">$B$14</f>
        <v>3000</v>
      </c>
      <c r="D36" s="16" t="n">
        <f aca="false">$B$14</f>
        <v>3000</v>
      </c>
      <c r="E36" s="16" t="n">
        <f aca="false">$B$14</f>
        <v>3000</v>
      </c>
    </row>
    <row r="37" customFormat="false" ht="15" hidden="false" customHeight="false" outlineLevel="0" collapsed="false">
      <c r="A37" s="10" t="s">
        <v>71</v>
      </c>
      <c r="B37" s="16" t="n">
        <f aca="false">B26*$B$15*12*$B$9</f>
        <v>1140</v>
      </c>
      <c r="C37" s="16" t="n">
        <f aca="false">C26*$B$15*12*$B$9</f>
        <v>1140</v>
      </c>
      <c r="D37" s="16" t="n">
        <f aca="false">D26*$B$15*12*$B$9</f>
        <v>1710</v>
      </c>
      <c r="E37" s="16" t="n">
        <f aca="false">E26*$B$15*12*$B$9</f>
        <v>2850</v>
      </c>
    </row>
    <row r="38" customFormat="false" ht="15" hidden="false" customHeight="false" outlineLevel="0" collapsed="false">
      <c r="A38" s="10" t="s">
        <v>72</v>
      </c>
      <c r="B38" s="16" t="n">
        <f aca="false">$B$16</f>
        <v>3000</v>
      </c>
      <c r="C38" s="16" t="n">
        <f aca="false">$B$16</f>
        <v>3000</v>
      </c>
      <c r="D38" s="16" t="n">
        <f aca="false">$B$16</f>
        <v>3000</v>
      </c>
      <c r="E38" s="16" t="n">
        <f aca="false">$B$16</f>
        <v>3000</v>
      </c>
    </row>
    <row r="39" customFormat="false" ht="15" hidden="false" customHeight="false" outlineLevel="0" collapsed="false">
      <c r="A39" s="10" t="s">
        <v>73</v>
      </c>
      <c r="B39" s="16" t="n">
        <f aca="false">$B$17</f>
        <v>2400</v>
      </c>
      <c r="C39" s="16" t="n">
        <f aca="false">$B$17</f>
        <v>2400</v>
      </c>
      <c r="D39" s="16" t="n">
        <f aca="false">$B$17</f>
        <v>2400</v>
      </c>
      <c r="E39" s="16" t="n">
        <f aca="false">$B$17</f>
        <v>2400</v>
      </c>
    </row>
    <row r="40" customFormat="false" ht="15" hidden="false" customHeight="false" outlineLevel="0" collapsed="false">
      <c r="A40" s="10" t="s">
        <v>74</v>
      </c>
      <c r="B40" s="16" t="n">
        <f aca="false">$B$18</f>
        <v>1000</v>
      </c>
      <c r="C40" s="16" t="n">
        <f aca="false">$B$18</f>
        <v>1000</v>
      </c>
      <c r="D40" s="16" t="n">
        <f aca="false">$B$18</f>
        <v>1000</v>
      </c>
      <c r="E40" s="16" t="n">
        <f aca="false">$B$18</f>
        <v>1000</v>
      </c>
    </row>
    <row r="41" customFormat="false" ht="15" hidden="false" customHeight="false" outlineLevel="0" collapsed="false">
      <c r="A41" s="10" t="s">
        <v>75</v>
      </c>
      <c r="B41" s="16" t="n">
        <f aca="false">B31*$B$19</f>
        <v>3854.9727</v>
      </c>
      <c r="C41" s="16" t="n">
        <f aca="false">C31*$B$19</f>
        <v>5005.48635</v>
      </c>
      <c r="D41" s="16" t="n">
        <f aca="false">D31*$B$19</f>
        <v>6932.9727</v>
      </c>
      <c r="E41" s="16" t="n">
        <f aca="false">E31*$B$19</f>
        <v>11938.45905</v>
      </c>
    </row>
    <row r="42" customFormat="false" ht="15" hidden="false" customHeight="false" outlineLevel="0" collapsed="false">
      <c r="A42" s="17" t="s">
        <v>76</v>
      </c>
      <c r="B42" s="18" t="n">
        <f aca="false">SUM(B33:B41)</f>
        <v>50254.9727</v>
      </c>
      <c r="C42" s="18" t="n">
        <f aca="false">SUM(C33:C41)</f>
        <v>51405.48635</v>
      </c>
      <c r="D42" s="18" t="n">
        <f aca="false">SUM(D33:D41)</f>
        <v>59032.9727</v>
      </c>
      <c r="E42" s="18" t="n">
        <f aca="false">SUM(E33:E41)</f>
        <v>117038.45905</v>
      </c>
    </row>
    <row r="44" customFormat="false" ht="15" hidden="false" customHeight="false" outlineLevel="0" collapsed="false">
      <c r="A44" s="17" t="s">
        <v>77</v>
      </c>
      <c r="B44" s="18" t="n">
        <f aca="false">B31-B42</f>
        <v>35411.0873</v>
      </c>
      <c r="C44" s="18" t="n">
        <f aca="false">C31-C42</f>
        <v>59827.54365</v>
      </c>
      <c r="D44" s="18" t="n">
        <f aca="false">D31-D42</f>
        <v>95033.0873</v>
      </c>
      <c r="E44" s="18" t="n">
        <f aca="false">E31-E42</f>
        <v>148260.63095</v>
      </c>
    </row>
    <row r="45" customFormat="false" ht="15" hidden="false" customHeight="false" outlineLevel="0" collapsed="false">
      <c r="A45" s="10" t="s">
        <v>78</v>
      </c>
      <c r="B45" s="16" t="n">
        <f aca="false">B44/12</f>
        <v>2950.92394166667</v>
      </c>
      <c r="C45" s="16" t="n">
        <f aca="false">C44/12</f>
        <v>4985.6286375</v>
      </c>
      <c r="D45" s="16" t="n">
        <f aca="false">D44/12</f>
        <v>7919.42394166666</v>
      </c>
      <c r="E45" s="16" t="n">
        <f aca="false">E44/12</f>
        <v>12355.0525791667</v>
      </c>
    </row>
    <row r="46" customFormat="false" ht="15" hidden="false" customHeight="false" outlineLevel="0" collapsed="false">
      <c r="A46" s="10" t="s">
        <v>79</v>
      </c>
      <c r="B46" s="16" t="n">
        <f aca="false">B44-100000</f>
        <v>-64588.9127</v>
      </c>
      <c r="C46" s="16" t="n">
        <f aca="false">C44-100000</f>
        <v>-40172.45635</v>
      </c>
      <c r="D46" s="16" t="n">
        <f aca="false">D44-100000</f>
        <v>-4966.91270000003</v>
      </c>
      <c r="E46" s="16" t="n">
        <f aca="false">E44-100000</f>
        <v>48260.63095</v>
      </c>
    </row>
    <row r="48" customFormat="false" ht="15" hidden="false" customHeight="false" outlineLevel="0" collapsed="false">
      <c r="A48" s="8" t="s">
        <v>80</v>
      </c>
    </row>
    <row r="49" customFormat="false" ht="15" hidden="false" customHeight="false" outlineLevel="0" collapsed="false">
      <c r="A49" s="8" t="s">
        <v>81</v>
      </c>
    </row>
    <row r="50" customFormat="false" ht="15" hidden="false" customHeight="false" outlineLevel="0" collapsed="false">
      <c r="A50" s="8" t="s">
        <v>82</v>
      </c>
    </row>
    <row r="51" customFormat="false" ht="15" hidden="false" customHeight="false" outlineLevel="0" collapsed="false">
      <c r="A51" s="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6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2" t="s">
        <v>84</v>
      </c>
    </row>
    <row r="2" customFormat="false" ht="15" hidden="false" customHeight="true" outlineLevel="0" collapsed="false">
      <c r="A2" s="3" t="s">
        <v>85</v>
      </c>
    </row>
    <row r="4" customFormat="false" ht="15" hidden="false" customHeight="true" outlineLevel="0" collapsed="false">
      <c r="A4" s="19" t="s">
        <v>86</v>
      </c>
      <c r="B4" s="19" t="s">
        <v>87</v>
      </c>
      <c r="C4" s="19" t="s">
        <v>88</v>
      </c>
      <c r="D4" s="19" t="s">
        <v>89</v>
      </c>
    </row>
    <row r="5" customFormat="false" ht="15" hidden="false" customHeight="true" outlineLevel="0" collapsed="false">
      <c r="A5" s="20" t="s">
        <v>90</v>
      </c>
      <c r="B5" s="21" t="n">
        <v>100000</v>
      </c>
      <c r="C5" s="21" t="n">
        <v>150000</v>
      </c>
      <c r="D5" s="21" t="n">
        <v>150000</v>
      </c>
    </row>
    <row r="6" customFormat="false" ht="15" hidden="false" customHeight="true" outlineLevel="0" collapsed="false">
      <c r="A6" s="20" t="s">
        <v>91</v>
      </c>
      <c r="B6" s="21" t="n">
        <v>55000</v>
      </c>
      <c r="C6" s="21" t="n">
        <v>70000</v>
      </c>
      <c r="D6" s="21" t="n">
        <v>80000</v>
      </c>
    </row>
    <row r="7" customFormat="false" ht="15" hidden="false" customHeight="true" outlineLevel="0" collapsed="false">
      <c r="A7" s="20" t="s">
        <v>92</v>
      </c>
      <c r="B7" s="21" t="n">
        <v>2000</v>
      </c>
      <c r="C7" s="21" t="n">
        <v>2000</v>
      </c>
      <c r="D7" s="21" t="n">
        <v>2000</v>
      </c>
    </row>
    <row r="8" customFormat="false" ht="15" hidden="false" customHeight="true" outlineLevel="0" collapsed="false">
      <c r="A8" s="20" t="s">
        <v>93</v>
      </c>
      <c r="B8" s="22" t="n">
        <v>0.22</v>
      </c>
      <c r="C8" s="22" t="n">
        <v>0.24</v>
      </c>
      <c r="D8" s="22" t="n">
        <v>0.24</v>
      </c>
    </row>
    <row r="9" customFormat="false" ht="15" hidden="false" customHeight="true" outlineLevel="0" collapsed="false">
      <c r="A9" s="20" t="s">
        <v>94</v>
      </c>
      <c r="B9" s="22" t="n">
        <v>0.124</v>
      </c>
      <c r="C9" s="22" t="n">
        <v>0.124</v>
      </c>
      <c r="D9" s="22" t="n">
        <v>0.124</v>
      </c>
    </row>
    <row r="10" customFormat="false" ht="15" hidden="false" customHeight="true" outlineLevel="0" collapsed="false">
      <c r="A10" s="20" t="s">
        <v>95</v>
      </c>
      <c r="B10" s="22" t="n">
        <v>0.029</v>
      </c>
      <c r="C10" s="22" t="n">
        <v>0.029</v>
      </c>
      <c r="D10" s="22" t="n">
        <v>0.029</v>
      </c>
    </row>
    <row r="11" customFormat="false" ht="15" hidden="false" customHeight="true" outlineLevel="0" collapsed="false">
      <c r="A11" s="20" t="s">
        <v>96</v>
      </c>
      <c r="B11" s="23" t="n">
        <v>0.9235</v>
      </c>
      <c r="C11" s="23" t="n">
        <v>0.9235</v>
      </c>
      <c r="D11" s="23" t="n">
        <v>0.9235</v>
      </c>
    </row>
    <row r="12" customFormat="false" ht="15" hidden="false" customHeight="true" outlineLevel="0" collapsed="false">
      <c r="A12" s="20" t="s">
        <v>97</v>
      </c>
      <c r="B12" s="21" t="n">
        <v>184500</v>
      </c>
      <c r="C12" s="21" t="n">
        <v>184500</v>
      </c>
      <c r="D12" s="21" t="n">
        <v>184500</v>
      </c>
    </row>
    <row r="13" customFormat="false" ht="15" hidden="false" customHeight="true" outlineLevel="0" collapsed="false">
      <c r="A13" s="20" t="s">
        <v>98</v>
      </c>
      <c r="B13" s="22" t="n">
        <v>0.2</v>
      </c>
      <c r="C13" s="22" t="n">
        <v>0.2</v>
      </c>
      <c r="D13" s="22" t="n">
        <v>0.2</v>
      </c>
    </row>
    <row r="14" customFormat="false" ht="15" hidden="false" customHeight="true" outlineLevel="0" collapsed="false">
      <c r="A14" s="24" t="s">
        <v>99</v>
      </c>
    </row>
    <row r="15" customFormat="false" ht="15" hidden="false" customHeight="true" outlineLevel="0" collapsed="false">
      <c r="A15" s="20" t="s">
        <v>100</v>
      </c>
      <c r="B15" s="25" t="n">
        <f aca="false">MIN(B5*B11,B12)*B9+B5*B11*B10</f>
        <v>14129.55</v>
      </c>
      <c r="C15" s="25" t="n">
        <f aca="false">MIN(C5*C11,C12)*C9+C5*C11*C10</f>
        <v>21194.325</v>
      </c>
      <c r="D15" s="25" t="n">
        <f aca="false">MIN(D5*D11,D12)*D9+D5*D11*D10</f>
        <v>21194.325</v>
      </c>
    </row>
    <row r="16" customFormat="false" ht="15" hidden="false" customHeight="true" outlineLevel="0" collapsed="false">
      <c r="A16" s="20" t="s">
        <v>101</v>
      </c>
      <c r="B16" s="25" t="n">
        <f aca="false">MIN(B6,B12)*B9+B6*B10</f>
        <v>8415</v>
      </c>
      <c r="C16" s="25" t="n">
        <f aca="false">MIN(C6,C12)*C9+C6*C10</f>
        <v>10710</v>
      </c>
      <c r="D16" s="25" t="n">
        <f aca="false">MIN(D6,D12)*D9+D6*D10</f>
        <v>12240</v>
      </c>
    </row>
    <row r="17" customFormat="false" ht="15" hidden="false" customHeight="true" outlineLevel="0" collapsed="false">
      <c r="A17" s="20" t="s">
        <v>102</v>
      </c>
      <c r="B17" s="25" t="n">
        <f aca="false">B15-B16</f>
        <v>5714.55</v>
      </c>
      <c r="C17" s="25" t="n">
        <f aca="false">C15-C16</f>
        <v>10484.325</v>
      </c>
      <c r="D17" s="25" t="n">
        <f aca="false">D15-D16</f>
        <v>8954.325</v>
      </c>
    </row>
    <row r="18" customFormat="false" ht="15" hidden="false" customHeight="true" outlineLevel="0" collapsed="false">
      <c r="A18" s="20" t="s">
        <v>103</v>
      </c>
      <c r="B18" s="25" t="n">
        <f aca="false">(B5-B15/2)*B13</f>
        <v>18587.045</v>
      </c>
      <c r="C18" s="25" t="n">
        <f aca="false">(C5-C15/2)*C13</f>
        <v>27880.5675</v>
      </c>
      <c r="D18" s="25" t="n">
        <f aca="false">(D5-D15/2)*D13</f>
        <v>27880.5675</v>
      </c>
    </row>
    <row r="19" customFormat="false" ht="15" hidden="false" customHeight="true" outlineLevel="0" collapsed="false">
      <c r="A19" s="20" t="s">
        <v>104</v>
      </c>
      <c r="B19" s="25" t="n">
        <f aca="false">MAX(0,B5-B6-B16/2)*B13</f>
        <v>8158.5</v>
      </c>
      <c r="C19" s="25" t="n">
        <f aca="false">MAX(0,C5-C6-C16/2)*C13</f>
        <v>14929</v>
      </c>
      <c r="D19" s="25" t="n">
        <f aca="false">MAX(0,D5-D6-D16/2)*D13</f>
        <v>12776</v>
      </c>
    </row>
    <row r="20" customFormat="false" ht="15" hidden="false" customHeight="true" outlineLevel="0" collapsed="false">
      <c r="A20" s="20" t="s">
        <v>105</v>
      </c>
      <c r="B20" s="25" t="n">
        <f aca="false">(B18-B19)*B8</f>
        <v>2294.2799</v>
      </c>
      <c r="C20" s="25" t="n">
        <f aca="false">(C18-C19)*C8</f>
        <v>3108.3762</v>
      </c>
      <c r="D20" s="25" t="n">
        <f aca="false">(D18-D19)*D8</f>
        <v>3625.0962</v>
      </c>
    </row>
    <row r="21" customFormat="false" ht="15" hidden="false" customHeight="true" outlineLevel="0" collapsed="false">
      <c r="A21" s="24" t="s">
        <v>106</v>
      </c>
      <c r="B21" s="26" t="n">
        <f aca="false">B17-B20-B7</f>
        <v>1420.2701</v>
      </c>
      <c r="C21" s="26" t="n">
        <f aca="false">C17-C20-C7</f>
        <v>5375.9488</v>
      </c>
      <c r="D21" s="26" t="n">
        <f aca="false">D17-D20-D7</f>
        <v>3329.2288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" t="s">
        <v>107</v>
      </c>
    </row>
    <row r="3" customFormat="false" ht="13.5" hidden="false" customHeight="true" outlineLevel="0" collapsed="false">
      <c r="A3" s="27" t="s">
        <v>108</v>
      </c>
    </row>
    <row r="4" customFormat="false" ht="13.5" hidden="false" customHeight="true" outlineLevel="0" collapsed="false">
      <c r="A4" s="27" t="s">
        <v>109</v>
      </c>
    </row>
    <row r="5" customFormat="false" ht="13.5" hidden="false" customHeight="true" outlineLevel="0" collapsed="false">
      <c r="A5" s="27" t="s">
        <v>110</v>
      </c>
    </row>
    <row r="6" customFormat="false" ht="13.5" hidden="false" customHeight="true" outlineLevel="0" collapsed="false">
      <c r="A6" s="27" t="s">
        <v>111</v>
      </c>
    </row>
    <row r="7" customFormat="false" ht="13.5" hidden="false" customHeight="true" outlineLevel="0" collapsed="false">
      <c r="A7" s="27" t="s">
        <v>112</v>
      </c>
    </row>
    <row r="8" customFormat="false" ht="13.5" hidden="false" customHeight="true" outlineLevel="0" collapsed="false">
      <c r="A8" s="27" t="s">
        <v>113</v>
      </c>
    </row>
    <row r="9" customFormat="false" ht="13.5" hidden="false" customHeight="true" outlineLevel="0" collapsed="false">
      <c r="A9" s="27" t="s">
        <v>114</v>
      </c>
    </row>
    <row r="10" customFormat="false" ht="13.5" hidden="false" customHeight="true" outlineLevel="0" collapsed="false">
      <c r="A10" s="27" t="s">
        <v>115</v>
      </c>
    </row>
    <row r="11" customFormat="false" ht="13.5" hidden="false" customHeight="true" outlineLevel="0" collapsed="false">
      <c r="A11" s="27" t="s">
        <v>116</v>
      </c>
    </row>
    <row r="12" customFormat="false" ht="13.5" hidden="false" customHeight="true" outlineLevel="0" collapsed="false">
      <c r="A12" s="27" t="s">
        <v>117</v>
      </c>
    </row>
    <row r="13" customFormat="false" ht="13.5" hidden="false" customHeight="true" outlineLevel="0" collapsed="false">
      <c r="A13" s="27" t="s">
        <v>118</v>
      </c>
    </row>
    <row r="14" customFormat="false" ht="14.15" hidden="false" customHeight="false" outlineLevel="0" collapsed="false">
      <c r="A14" s="28" t="s">
        <v>119</v>
      </c>
    </row>
    <row r="15" customFormat="false" ht="14.15" hidden="false" customHeight="false" outlineLevel="0" collapsed="false">
      <c r="A15" s="28" t="s">
        <v>120</v>
      </c>
    </row>
  </sheetData>
  <hyperlinks>
    <hyperlink ref="A3" r:id="rId1" display="Hawaii Med-QUEST memo QI-2501: CCFFH / E-ARCH rates (2025)"/>
    <hyperlink ref="A4" r:id="rId2" display="IRS Notice 2014-7: Medicaid waiver payments"/>
    <hyperlink ref="A5" r:id="rId3" display="Hawaii Real Estate Bulletin, Oct 2007: commissions paid to entities"/>
    <hyperlink ref="A6" r:id="rId4" display="HRS 467-8: entity broker license requirements"/>
    <hyperlink ref="A7" r:id="rId5" display="2026 QBI thresholds (Rev. Proc. 2025-32)"/>
    <hyperlink ref="A8" r:id="rId6" display="2026 self-employment tax reference"/>
    <hyperlink ref="A9" r:id="rId7" display="Hawaii GET guide"/>
    <hyperlink ref="A10" r:id="rId8" display="CCFFH program overview"/>
    <hyperlink ref="A11" r:id="rId9" display="Caring Manoa: elderly care options and private-pay ranges in Hawaii"/>
    <hyperlink ref="A12" r:id="rId10" display="Hawaii Dept. of Taxation TIR 2025-02: GET exemption for Medicare/Medicaid/TRICARE receipts (Act 47)"/>
    <hyperlink ref="A13" r:id="rId11" display="Med-QUEST CCFFH Admission Policy and Agreement"/>
    <hyperlink ref="A14" r:id="rId12" display="Hawaii Administrative Rules ch. 11-800: CCFFH rules (capacity)"/>
    <hyperlink ref="A15" r:id="rId13" display="ARCH, E-ARCH, and CCFFH explained (capacity by home type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2026-10-02T15:25:45Z</dcterms:created>
  <dc:creator>openpyxl</dc:creator>
  <dc:description/>
  <dc:language>en-US</dc:language>
  <cp:lastModifiedBy/>
  <dcterms:modified xsi:type="dcterms:W3CDTF">2026-10-06T00:41:00Z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